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决策首页" sheetId="2" r:id="rId6"/>
    <sheet name="C端完整定价" sheetId="3" r:id="rId7"/>
    <sheet name="首发与年付口径" sheetId="4" r:id="rId8"/>
    <sheet name="定价推演 （最终）" sheetId="5" r:id="rId9"/>
    <sheet name="AI 权益" sheetId="6" r:id="rId10"/>
    <sheet name="C端充值包（未确定版）" sheetId="7" r:id="rId11"/>
    <sheet name="B端完整定价" sheetId="8" r:id="rId12"/>
    <sheet name="成本与毛利" sheetId="9" r:id="rId13"/>
    <sheet name="规则与待确认" sheetId="10" r:id="rId14"/>
    <sheet name="升级与续费规则" sheetId="11" r:id="rId15"/>
    <sheet name="复查与开发交付" sheetId="12" r:id="rId16"/>
    <sheet name="计费验收用例" sheetId="13" r:id="rId17"/>
    <sheet name="新方案补充与开发说明" sheetId="14" r:id="rId18"/>
    <sheet name="新方案验收用例" sheetId="15" r:id="rId19"/>
    <sheet name="月价呈现定价" sheetId="16" r:id="rId2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<sst xmlns="http://schemas.openxmlformats.org/spreadsheetml/2006/main" count="1335" uniqueCount="1335">
  <si>
    <t xml:space="preserve">  </t>
  </si>
  <si>
    <t xml:space="preserve">优先级</t>
  </si>
  <si>
    <t xml:space="preserve">治理项</t>
  </si>
  <si>
    <t xml:space="preserve">最新结论</t>
  </si>
  <si>
    <t xml:space="preserve">规则源 / 关联 ToDo</t>
  </si>
  <si>
    <t xml:space="preserve">状态</t>
  </si>
  <si>
    <t xml:space="preserve">P0</t>
  </si>
  <si>
    <t xml:space="preserve">唯一价格源</t>
  </si>
  <si>
    <t xml:space="preserve">R-02；To Do</t>
  </si>
  <si>
    <t xml:space="preserve">AI权益与业务规则</t>
  </si>
  <si>
    <t xml:space="preserve">R-14；To Do</t>
  </si>
  <si>
    <t xml:space="preserve">唯一执行源</t>
  </si>
  <si>
    <t xml:space="preserve">To Do 只维护任务、日期、Owner、依赖、验收、完成状态及关联 Rule ID</t>
  </si>
  <si>
    <t xml:space="preserve">To Do；全部执行任务</t>
  </si>
  <si>
    <t xml:space="preserve">已生效</t>
  </si>
  <si>
    <t xml:space="preserve">价格评审基线</t>
  </si>
  <si>
    <t xml:space="preserve">价格层级</t>
  </si>
  <si>
    <t xml:space="preserve">R-03；To Do</t>
  </si>
  <si>
    <t xml:space="preserve">年购</t>
  </si>
  <si>
    <t xml:space="preserve">R-04；To Do</t>
  </si>
  <si>
    <t xml:space="preserve">首发与首购</t>
  </si>
  <si>
    <t xml:space="preserve">R-05；To Do</t>
  </si>
  <si>
    <t xml:space="preserve">充值</t>
  </si>
  <si>
    <t xml:space="preserve">R-13；To Do</t>
  </si>
  <si>
    <t xml:space="preserve">订阅积分</t>
  </si>
  <si>
    <t xml:space="preserve">R-09；To Do</t>
  </si>
  <si>
    <t xml:space="preserve">续费与保价</t>
  </si>
  <si>
    <t xml:space="preserve">R-07；To Do</t>
  </si>
  <si>
    <t xml:space="preserve">升级</t>
  </si>
  <si>
    <t xml:space="preserve">R-17；To Do</t>
  </si>
  <si>
    <t xml:space="preserve">支付异常与停单</t>
  </si>
  <si>
    <t xml:space="preserve">R-08；To Do</t>
  </si>
  <si>
    <t xml:space="preserve">退款、开票与法务</t>
  </si>
  <si>
    <t xml:space="preserve">R-23；To Do</t>
  </si>
  <si>
    <t xml:space="preserve">P1</t>
  </si>
  <si>
    <t xml:space="preserve">Stage 2</t>
  </si>
  <si>
    <t xml:space="preserve">R-22；To Do</t>
  </si>
  <si>
    <t xml:space="preserve">对外命名</t>
  </si>
  <si>
    <t xml:space="preserve">R-01；To Do</t>
  </si>
  <si>
    <t xml:space="preserve">D5 C端完整定价｜最新成果引用视图｜2026-09-18</t>
  </si>
  <si>
    <t xml:space="preserve">唯一价格源：定价推演 （最终）；唯一AI权益源：AI 权益。本表不再维护旧标准/长期/首发独立价格。</t>
  </si>
  <si>
    <t xml:space="preserve">CNY价格与调优价格并列引用；页面采用列、实际开放档位和月/年范围待确认。历史订单按成交版本履约。</t>
  </si>
  <si>
    <t xml:space="preserve">产品线</t>
  </si>
  <si>
    <t xml:space="preserve">档位</t>
  </si>
  <si>
    <t xml:space="preserve">用量倍数</t>
  </si>
  <si>
    <t xml:space="preserve">套餐积分/月</t>
  </si>
  <si>
    <t xml:space="preserve">积分拆分</t>
  </si>
  <si>
    <t xml:space="preserve">总积分/月</t>
  </si>
  <si>
    <t xml:space="preserve">登录赠分/一次</t>
  </si>
  <si>
    <t xml:space="preserve">月价(CNY)</t>
  </si>
  <si>
    <t xml:space="preserve">年价(CNY)</t>
  </si>
  <si>
    <t xml:space="preserve">调优月价</t>
  </si>
  <si>
    <t xml:space="preserve">调优年价</t>
  </si>
  <si>
    <t xml:space="preserve">调优首月价</t>
  </si>
  <si>
    <t xml:space="preserve">首月价(CNY)</t>
  </si>
  <si>
    <t xml:space="preserve">状态</t>
  </si>
  <si>
    <t xml:space="preserve">AI权益摘要</t>
  </si>
  <si>
    <t xml:space="preserve">来源 / 边界</t>
  </si>
  <si>
    <t xml:space="preserve">社区版</t>
  </si>
  <si>
    <t xml:space="preserve">免费</t>
  </si>
  <si>
    <t xml:space="preserve">非月度套餐</t>
  </si>
  <si>
    <t xml:space="preserve">免费体验</t>
  </si>
  <si>
    <t xml:space="preserve">并发2；图片1K；视频480P；部分模型；不可商用</t>
  </si>
  <si>
    <t xml:space="preserve">登录赠300，365天；无充值资格</t>
  </si>
  <si>
    <t xml:space="preserve">基础版</t>
  </si>
  <si>
    <t xml:space="preserve">入门</t>
  </si>
  <si>
    <t xml:space="preserve">后台拆分待确认</t>
  </si>
  <si>
    <t xml:space="preserve">价格源已确认；上架范围待确认</t>
  </si>
  <si>
    <t xml:space="preserve">价格与调优价格未合并；年费不是月费</t>
  </si>
  <si>
    <t xml:space="preserve">轻量</t>
  </si>
  <si>
    <t xml:space="preserve">标准</t>
  </si>
  <si>
    <t xml:space="preserve">旗舰</t>
  </si>
  <si>
    <t xml:space="preserve">专业版</t>
  </si>
  <si>
    <t xml:space="preserve">AI权益对照｜自动引用最新权益，协作项目数尚未上线</t>
  </si>
  <si>
    <t xml:space="preserve">方案</t>
  </si>
  <si>
    <t xml:space="preserve">并发任务</t>
  </si>
  <si>
    <t xml:space="preserve">图片分辨率</t>
  </si>
  <si>
    <t xml:space="preserve">视频分辨率</t>
  </si>
  <si>
    <t xml:space="preserve">模型</t>
  </si>
  <si>
    <t xml:space="preserve">商用</t>
  </si>
  <si>
    <t xml:space="preserve">充值常态赠送</t>
  </si>
  <si>
    <t xml:space="preserve">充值有效期</t>
  </si>
  <si>
    <t xml:space="preserve">AI增强/放大</t>
  </si>
  <si>
    <t xml:space="preserve">分享下载</t>
  </si>
  <si>
    <t xml:space="preserve">协作项目数（未上线）</t>
  </si>
  <si>
    <t xml:space="preserve">开业活动原文</t>
  </si>
  <si>
    <t xml:space="preserve">活动计算状态</t>
  </si>
  <si>
    <t xml:space="preserve"/>
  </si>
  <si>
    <t xml:space="preserve">总比例/叠加待确认</t>
  </si>
  <si>
    <t xml:space="preserve">下一行为专业版旗舰；协作项目数均为未上线能力，不作为当前可用承诺。分享链接一栏源表为空，不补写权限。</t>
  </si>
  <si>
    <t xml:space="preserve">来源与配置索引｜不维护第二套价格输入</t>
  </si>
  <si>
    <t xml:space="preserve">项目</t>
  </si>
  <si>
    <t xml:space="preserve">值/指向</t>
  </si>
  <si>
    <t xml:space="preserve">类型</t>
  </si>
  <si>
    <t xml:space="preserve">说明</t>
  </si>
  <si>
    <t xml:space="preserve">价格源</t>
  </si>
  <si>
    <t xml:space="preserve">定价推演 （最终）</t>
  </si>
  <si>
    <t xml:space="preserve">只读源</t>
  </si>
  <si>
    <t xml:space="preserve">最新成果</t>
  </si>
  <si>
    <t xml:space="preserve">原价C列、调优D列、积分F列；本轮不修改</t>
  </si>
  <si>
    <t xml:space="preserve">AI权益源</t>
  </si>
  <si>
    <t xml:space="preserve">AI 权益</t>
  </si>
  <si>
    <t xml:space="preserve">并发、图片/视频、模型、商用、充值、增强放大等均按源引用</t>
  </si>
  <si>
    <t xml:space="preserve">页面价格列</t>
  </si>
  <si>
    <t xml:space="preserve">待确认</t>
  </si>
  <si>
    <t xml:space="preserve">发布配置</t>
  </si>
  <si>
    <t xml:space="preserve">不擅自把调优列设为已批准订单价</t>
  </si>
  <si>
    <t xml:space="preserve">开放周期</t>
  </si>
  <si>
    <t xml:space="preserve">原灰度仅单次月购；源表有年价不等于已开放</t>
  </si>
  <si>
    <t xml:space="preserve">开放档位</t>
  </si>
  <si>
    <t xml:space="preserve">入门/轻量/标准/旗舰都有价格；实际服务端SKU名单待确认</t>
  </si>
  <si>
    <t xml:space="preserve">首购资格</t>
  </si>
  <si>
    <t xml:space="preserve">配置</t>
  </si>
  <si>
    <t xml:space="preserve">首月金额已列；资格和跨版本共享仍待确认</t>
  </si>
  <si>
    <t xml:space="preserve">充值汇率</t>
  </si>
  <si>
    <t xml:space="preserve">候选积分/元</t>
  </si>
  <si>
    <t xml:space="preserve">未确定</t>
  </si>
  <si>
    <t xml:space="preserve">引用未确定充值包中的当前候选；不能写成已确认新价</t>
  </si>
  <si>
    <t xml:space="preserve">开业活动</t>
  </si>
  <si>
    <t xml:space="preserve">AI 权益 M列</t>
  </si>
  <si>
    <t xml:space="preserve">来源</t>
  </si>
  <si>
    <t xml:space="preserve">计算口径待确认</t>
  </si>
  <si>
    <t xml:space="preserve">前三个月；总赠送/额外叠加及精确活动日期待确认</t>
  </si>
  <si>
    <t xml:space="preserve">登录赠分</t>
  </si>
  <si>
    <t xml:space="preserve">积分</t>
  </si>
  <si>
    <t xml:space="preserve">沿用确认</t>
  </si>
  <si>
    <t xml:space="preserve">下载Arco并登录；一次领取；365天有效</t>
  </si>
  <si>
    <t xml:space="preserve">历史订单</t>
  </si>
  <si>
    <t xml:space="preserve">按成交版本</t>
  </si>
  <si>
    <t xml:space="preserve">履约</t>
  </si>
  <si>
    <t xml:space="preserve">保留</t>
  </si>
  <si>
    <t xml:space="preserve">不追溯改变已成交价、积分和有效期</t>
  </si>
  <si>
    <t xml:space="preserve">软件价值</t>
  </si>
  <si>
    <t xml:space="preserve">最终价表L列</t>
  </si>
  <si>
    <t xml:space="preserve">内部观察</t>
  </si>
  <si>
    <t xml:space="preserve">非结算拆分</t>
  </si>
  <si>
    <t xml:space="preserve">不可直接作为混合升级折抵软件实付基数</t>
  </si>
  <si>
    <t xml:space="preserve">套餐积分拆分</t>
  </si>
  <si>
    <t xml:space="preserve">后台分类</t>
  </si>
  <si>
    <t xml:space="preserve">总额度齐平，不额外叠加1000赠分</t>
  </si>
  <si>
    <t xml:space="preserve">协作项目数</t>
  </si>
  <si>
    <t xml:space="preserve">AI 权益 L列</t>
  </si>
  <si>
    <t xml:space="preserve">规划</t>
  </si>
  <si>
    <t xml:space="preserve">暂未上线</t>
  </si>
  <si>
    <t xml:space="preserve">基础3、专业6、团队/企业不限；不得标成已开放</t>
  </si>
  <si>
    <t xml:space="preserve">分享链接</t>
  </si>
  <si>
    <t xml:space="preserve">源表空白</t>
  </si>
  <si>
    <t xml:space="preserve">权限</t>
  </si>
  <si>
    <t xml:space="preserve">待补充</t>
  </si>
  <si>
    <t xml:space="preserve">不把空白推断为支持或不支持</t>
  </si>
  <si>
    <t xml:space="preserve">升级报价</t>
  </si>
  <si>
    <t xml:space="preserve">见R-16～18</t>
  </si>
  <si>
    <t xml:space="preserve">规则</t>
  </si>
  <si>
    <t xml:space="preserve">按开放路径</t>
  </si>
  <si>
    <t xml:space="preserve">同周期保留到期日；年路径按开放范围启用</t>
  </si>
  <si>
    <t xml:space="preserve">成本假设</t>
  </si>
  <si>
    <t xml:space="preserve">元/积分</t>
  </si>
  <si>
    <t xml:space="preserve">未核实</t>
  </si>
  <si>
    <t xml:space="preserve">仅模型层测算，不代表实际毛利</t>
  </si>
  <si>
    <t xml:space="preserve">表格用途</t>
  </si>
  <si>
    <t xml:space="preserve">开发/市场引用</t>
  </si>
  <si>
    <t xml:space="preserve">本轮更新</t>
  </si>
  <si>
    <t xml:space="preserve">引用视图同步不等于真实支付验收</t>
  </si>
  <si>
    <t xml:space="preserve">文案母版</t>
  </si>
  <si>
    <t xml:space="preserve">Xv8ydTT4OoSPaexYjAgcgs2NnHe</t>
  </si>
  <si>
    <t xml:space="preserve">文档</t>
  </si>
  <si>
    <t xml:space="preserve">同步</t>
  </si>
  <si>
    <t xml:space="preserve">对外成稿与内部待确认分开</t>
  </si>
  <si>
    <t xml:space="preserve">执行清单</t>
  </si>
  <si>
    <t xml:space="preserve">Od2SdlvmeodhU7xLNmBcl5vjnHe</t>
  </si>
  <si>
    <t xml:space="preserve">To Do</t>
  </si>
  <si>
    <t xml:space="preserve">保留Owner与历史完成记录；变化项需重新验收</t>
  </si>
  <si>
    <t xml:space="preserve">价格保护</t>
  </si>
  <si>
    <t xml:space="preserve">不修改最新成果</t>
  </si>
  <si>
    <t xml:space="preserve">约束</t>
  </si>
  <si>
    <t xml:space="preserve">执行</t>
  </si>
  <si>
    <t xml:space="preserve">保护定价推演（最终）和AI权益两个sheet</t>
  </si>
  <si>
    <t xml:space="preserve">验收来源</t>
  </si>
  <si>
    <t xml:space="preserve">新方案验收用例</t>
  </si>
  <si>
    <t xml:space="preserve">引用</t>
  </si>
  <si>
    <t xml:space="preserve">表格层</t>
  </si>
  <si>
    <t xml:space="preserve">实际支付、迁移、边界仍需服务端验证</t>
  </si>
  <si>
    <t xml:space="preserve">规则引用｜正文维护在「规则与待确认」</t>
  </si>
  <si>
    <t xml:space="preserve">主题</t>
  </si>
  <si>
    <t xml:space="preserve">唯一口径</t>
  </si>
  <si>
    <t xml:space="preserve">价格唯一来源</t>
  </si>
  <si>
    <t xml:space="preserve">命名与用量</t>
  </si>
  <si>
    <t xml:space="preserve">灰度范围</t>
  </si>
  <si>
    <t xml:space="preserve">积分发放与到期</t>
  </si>
  <si>
    <t xml:space="preserve">首月优惠</t>
  </si>
  <si>
    <t xml:space="preserve">续购与自动续费</t>
  </si>
  <si>
    <t xml:space="preserve">购买周期</t>
  </si>
  <si>
    <t xml:space="preserve">升级结算与周期</t>
  </si>
  <si>
    <t xml:space="preserve">充值赠送与有效期</t>
  </si>
  <si>
    <t xml:space="preserve">会员到期</t>
  </si>
  <si>
    <t xml:space="preserve">开票与法务</t>
  </si>
  <si>
    <t xml:space="preserve">SKU对照｜八个版本×用量组合；实际周期与可售状态由服务端配置确认</t>
  </si>
  <si>
    <t xml:space="preserve">月积分</t>
  </si>
  <si>
    <t xml:space="preserve">上架状态</t>
  </si>
  <si>
    <t xml:space="preserve">软件折抵</t>
  </si>
  <si>
    <t xml:space="preserve">权益</t>
  </si>
  <si>
    <t xml:space="preserve">待映射真实SKU</t>
  </si>
  <si>
    <t xml:space="preserve">不得直接用价差抵扣</t>
  </si>
  <si>
    <t xml:space="preserve">R-01～18</t>
  </si>
  <si>
    <t xml:space="preserve">MKT-P04～09</t>
  </si>
  <si>
    <t xml:space="preserve">治理与待确认</t>
  </si>
  <si>
    <t xml:space="preserve">本表为引用展示；价格/权益只读源由业务维护；执行在To Do。</t>
  </si>
  <si>
    <t xml:space="preserve">事项</t>
  </si>
  <si>
    <t xml:space="preserve">当前结论</t>
  </si>
  <si>
    <t xml:space="preserve">边界</t>
  </si>
  <si>
    <t xml:space="preserve">责任归口</t>
  </si>
  <si>
    <t xml:space="preserve">关联任务</t>
  </si>
  <si>
    <t xml:space="preserve">备注</t>
  </si>
  <si>
    <t xml:space="preserve">CNY与调优价并存</t>
  </si>
  <si>
    <t xml:space="preserve">待确认页面订单采用列</t>
  </si>
  <si>
    <t xml:space="preserve">市场/产品</t>
  </si>
  <si>
    <t xml:space="preserve">DEC-03～06</t>
  </si>
  <si>
    <t xml:space="preserve">不改源表</t>
  </si>
  <si>
    <t xml:space="preserve">购买范围</t>
  </si>
  <si>
    <t xml:space="preserve">四档已有价格</t>
  </si>
  <si>
    <t xml:space="preserve">实际上架档位、月/年范围待确认</t>
  </si>
  <si>
    <t xml:space="preserve">产品</t>
  </si>
  <si>
    <t xml:space="preserve">DEC-10、MKT-P05</t>
  </si>
  <si>
    <t xml:space="preserve">不推断已上线</t>
  </si>
  <si>
    <t xml:space="preserve">充值与活动</t>
  </si>
  <si>
    <t xml:space="preserve">常态权益已确认</t>
  </si>
  <si>
    <t xml:space="preserve">汇率、活动叠加与日期待确认</t>
  </si>
  <si>
    <t xml:space="preserve">DEC-17、MKT-P20</t>
  </si>
  <si>
    <t xml:space="preserve">不沿用旧金额阈值</t>
  </si>
  <si>
    <t xml:space="preserve">方案</t>
  </si>
  <si>
    <t xml:space="preserve">月积分</t>
  </si>
  <si>
    <t xml:space="preserve">月价(CNY)</t>
  </si>
  <si>
    <t xml:space="preserve">调优月价</t>
  </si>
  <si>
    <t xml:space="preserve">首月价(CNY)</t>
  </si>
  <si>
    <t xml:space="preserve">调优首月价</t>
  </si>
  <si>
    <t xml:space="preserve">年价(CNY)</t>
  </si>
  <si>
    <t xml:space="preserve">调优年价</t>
  </si>
  <si>
    <t xml:space="preserve">年购月均（调优）</t>
  </si>
  <si>
    <t xml:space="preserve">发布状态</t>
  </si>
  <si>
    <t xml:space="preserve">来源与说明</t>
  </si>
  <si>
    <t xml:space="preserve">基础版 入门</t>
  </si>
  <si>
    <t xml:space="preserve">采用列与周期待确认</t>
  </si>
  <si>
    <t xml:space="preserve">仅金额源；年购月均不是月付价格</t>
  </si>
  <si>
    <t xml:space="preserve">基础版 轻量</t>
  </si>
  <si>
    <t xml:space="preserve">基础版 标准</t>
  </si>
  <si>
    <t xml:space="preserve">基础版 旗舰</t>
  </si>
  <si>
    <t xml:space="preserve">专业版 入门</t>
  </si>
  <si>
    <t xml:space="preserve">专业版 轻量</t>
  </si>
  <si>
    <t xml:space="preserve">专业版 标准</t>
  </si>
  <si>
    <t xml:space="preserve">专业版 旗舰</t>
  </si>
  <si>
    <t xml:space="preserve">首月资格</t>
  </si>
  <si>
    <t xml:space="preserve"/>
  </si>
  <si>
    <t xml:space="preserve">待确认</t>
  </si>
  <si>
    <t xml:space="preserve">首月金额引用最新价表的首月行；正常月价引用月行。首购识别、旧用户资格、跨版本/周期共享及优惠活动叠加需产品确认。</t>
  </si>
  <si>
    <t xml:space="preserve">购买周期</t>
  </si>
  <si>
    <t xml:space="preserve">最新表已给出年价，但不等于灰度开放年购；本轮开放周期待确认。此前灰度为单次月购、无自动续费；若开放年购，沿用单次购买、积分按月发放。</t>
  </si>
  <si>
    <t xml:space="preserve">年购发放</t>
  </si>
  <si>
    <t xml:space="preserve">年购开放时适用</t>
  </si>
  <si>
    <t xml:space="preserve">按积分月发放；不把年总额一次发放；不自动续费</t>
  </si>
  <si>
    <t xml:space="preserve">订阅 plan｜最终定价</t>
  </si>
  <si>
    <t xml:space="preserve">plan</t>
  </si>
  <si>
    <t xml:space="preserve">计费</t>
  </si>
  <si>
    <t xml:space="preserve">价格(CNY)</t>
  </si>
  <si>
    <t xml:space="preserve">调优价格(CNY)</t>
  </si>
  <si>
    <t xml:space="preserve">价格(USD)</t>
  </si>
  <si>
    <t xml:space="preserve">含credit</t>
  </si>
  <si>
    <t xml:space="preserve">单credit(USD)</t>
  </si>
  <si>
    <t xml:space="preserve">实际折扣(vs充值包)</t>
  </si>
  <si>
    <t xml:space="preserve">年费</t>
  </si>
  <si>
    <t xml:space="preserve">对比上一档</t>
  </si>
  <si>
    <t xml:space="preserve">倒推软件价值计算口径</t>
  </si>
  <si>
    <t xml:space="preserve">倒推软件价值(CNY)</t>
  </si>
  <si>
    <t xml:space="preserve">基础版 入门(小杯）</t>
  </si>
  <si>
    <t xml:space="preserve">月</t>
  </si>
  <si>
    <t xml:space="preserve"/>
  </si>
  <si>
    <t xml:space="preserve">基础版 入门</t>
  </si>
  <si>
    <t xml:space="preserve">首月</t>
  </si>
  <si>
    <t xml:space="preserve">年</t>
  </si>
  <si>
    <t xml:space="preserve">基础版 轻量（中杯）</t>
  </si>
  <si>
    <t xml:space="preserve">基础版 轻量</t>
  </si>
  <si>
    <t xml:space="preserve">基础版 标准（大杯）</t>
  </si>
  <si>
    <t xml:space="preserve">基础版 标准</t>
  </si>
  <si>
    <t xml:space="preserve">基础版 旗舰（超大杯）</t>
  </si>
  <si>
    <t xml:space="preserve">基础版 旗舰</t>
  </si>
  <si>
    <t xml:space="preserve">专业版 入门</t>
  </si>
  <si>
    <t xml:space="preserve">调优价格 − 基础版入门·月价格</t>
  </si>
  <si>
    <t xml:space="preserve">调优价格 − 基础版入门·首月价格</t>
  </si>
  <si>
    <t xml:space="preserve">调优价格 − 基础版入门·年价格</t>
  </si>
  <si>
    <t xml:space="preserve">专业版 轻量</t>
  </si>
  <si>
    <t xml:space="preserve">调优价格 − 基础版轻量·月价格</t>
  </si>
  <si>
    <t xml:space="preserve">调优价格 − 基础版轻量·首月价格</t>
  </si>
  <si>
    <t xml:space="preserve">调优价格 − 基础版轻量·年价格</t>
  </si>
  <si>
    <t xml:space="preserve">专业版 标准</t>
  </si>
  <si>
    <t xml:space="preserve">调优价格 − 基础版标准·月价格</t>
  </si>
  <si>
    <t xml:space="preserve">调优价格 − 基础版标准·首月价格</t>
  </si>
  <si>
    <t xml:space="preserve">调优价格 − 基础版标准·年价格</t>
  </si>
  <si>
    <t xml:space="preserve">专业版 旗舰</t>
  </si>
  <si>
    <t xml:space="preserve">调优价格 − 基础版旗舰·月价格</t>
  </si>
  <si>
    <t xml:space="preserve">调优价格 − 基础版旗舰·首月价格</t>
  </si>
  <si>
    <t xml:space="preserve">调优价格 − 基础版旗舰·年价格</t>
  </si>
  <si>
    <t xml:space="preserve">公开名称</t>
  </si>
  <si>
    <t xml:space="preserve">并发任务</t>
  </si>
  <si>
    <t xml:space="preserve">图片分辨率</t>
  </si>
  <si>
    <t xml:space="preserve">视频分辨率</t>
  </si>
  <si>
    <t xml:space="preserve">模型</t>
  </si>
  <si>
    <t xml:space="preserve">商用</t>
  </si>
  <si>
    <t xml:space="preserve">充值赠送</t>
  </si>
  <si>
    <t xml:space="preserve">充值有效期</t>
  </si>
  <si>
    <t xml:space="preserve">AI 增强、放大功能（Arco内）</t>
  </si>
  <si>
    <t xml:space="preserve">AI 增强、放大功能（Render 内）</t>
  </si>
  <si>
    <t xml:space="preserve">分享链接</t>
  </si>
  <si>
    <t xml:space="preserve">分享下载</t>
  </si>
  <si>
    <t xml:space="preserve">协作项目数（暂未上线）</t>
  </si>
  <si>
    <t xml:space="preserve">开业活动（前三个月）</t>
  </si>
  <si>
    <t xml:space="preserve">社区版</t>
  </si>
  <si>
    <t xml:space="preserve">1k</t>
  </si>
  <si>
    <t xml:space="preserve">480 P</t>
  </si>
  <si>
    <t xml:space="preserve">部分</t>
  </si>
  <si>
    <t xml:space="preserve">不可商用</t>
  </si>
  <si>
    <t xml:space="preserve">不可充值</t>
  </si>
  <si>
    <t xml:space="preserve">消耗积分</t>
  </si>
  <si>
    <t xml:space="preserve">不支持</t>
  </si>
  <si>
    <t xml:space="preserve">不可管理</t>
  </si>
  <si>
    <t xml:space="preserve">基础版 入门</t>
  </si>
  <si>
    <t xml:space="preserve">2k</t>
  </si>
  <si>
    <t xml:space="preserve">720 P</t>
  </si>
  <si>
    <t xml:space="preserve">全部</t>
  </si>
  <si>
    <t xml:space="preserve">AI生成可商用</t>
  </si>
  <si>
    <t xml:space="preserve">标准价格</t>
  </si>
  <si>
    <t xml:space="preserve">90天</t>
  </si>
  <si>
    <t xml:space="preserve">下载管理</t>
  </si>
  <si>
    <t xml:space="preserve">充值赠送30%</t>
  </si>
  <si>
    <t xml:space="preserve">基础版 轻量</t>
  </si>
  <si>
    <t xml:space="preserve">4K</t>
  </si>
  <si>
    <t xml:space="preserve">基础版 标准</t>
  </si>
  <si>
    <t xml:space="preserve">额外赠送10%</t>
  </si>
  <si>
    <t xml:space="preserve">充值赠送40%</t>
  </si>
  <si>
    <t xml:space="preserve">基础版 旗舰</t>
  </si>
  <si>
    <t xml:space="preserve">不限</t>
  </si>
  <si>
    <t xml:space="preserve">专业版 入门</t>
  </si>
  <si>
    <t xml:space="preserve">全部可商用</t>
  </si>
  <si>
    <t xml:space="preserve">180天</t>
  </si>
  <si>
    <t xml:space="preserve">不消耗积分</t>
  </si>
  <si>
    <t xml:space="preserve">专业版 轻量</t>
  </si>
  <si>
    <t xml:space="preserve">专业版 标准</t>
  </si>
  <si>
    <t xml:space="preserve">额外赠送20%</t>
  </si>
  <si>
    <t xml:space="preserve">充值赠送50%</t>
  </si>
  <si>
    <t xml:space="preserve">专业版 旗舰</t>
  </si>
  <si>
    <t xml:space="preserve">团队版</t>
  </si>
  <si>
    <t xml:space="preserve">企业价格</t>
  </si>
  <si>
    <t xml:space="preserve">365天</t>
  </si>
  <si>
    <t xml:space="preserve">基础席位</t>
  </si>
  <si>
    <t xml:space="preserve">专业席位</t>
  </si>
  <si>
    <t xml:space="preserve">企业版</t>
  </si>
  <si>
    <t xml:space="preserve">充值赠送60%</t>
  </si>
  <si>
    <t xml:space="preserve">教育版</t>
  </si>
  <si>
    <t xml:space="preserve">教育优惠</t>
  </si>
  <si>
    <t xml:space="preserve">适用版本</t>
  </si>
  <si>
    <t xml:space="preserve">单笔金额规则</t>
  </si>
  <si>
    <t xml:space="preserve">候选汇率(积分/元)</t>
  </si>
  <si>
    <t xml:space="preserve">常态赠送（权益源）</t>
  </si>
  <si>
    <t xml:space="preserve">前三个月活动（权益源）</t>
  </si>
  <si>
    <t xml:space="preserve">活动计算口径</t>
  </si>
  <si>
    <t xml:space="preserve">有效期（权益源）</t>
  </si>
  <si>
    <t xml:space="preserve">基础积分算法（待定）</t>
  </si>
  <si>
    <t xml:space="preserve">赠送积分算法</t>
  </si>
  <si>
    <t xml:space="preserve">购买资格</t>
  </si>
  <si>
    <t xml:space="preserve">批次处理</t>
  </si>
  <si>
    <t xml:space="preserve">状态</t>
  </si>
  <si>
    <t xml:space="preserve">关联To Do</t>
  </si>
  <si>
    <t xml:space="preserve">50元起；50的倍数（沿此前规则，最终待配置）</t>
  </si>
  <si>
    <t xml:space="preserve">总赠送/额外叠加待确认</t>
  </si>
  <si>
    <t xml:space="preserve">金额×确认后汇率；20为候选</t>
  </si>
  <si>
    <t xml:space="preserve">基础积分×确认后的适用赠送比例</t>
  </si>
  <si>
    <t xml:space="preserve">有效会员；社区不可充值</t>
  </si>
  <si>
    <t xml:space="preserve">按充值时权益记录；到期冻结不延长原期限</t>
  </si>
  <si>
    <t xml:space="preserve">未确定充值报价；常态权益已引用</t>
  </si>
  <si>
    <t xml:space="preserve">DEC-17；MKT-R01～04</t>
  </si>
  <si>
    <t xml:space="preserve">金额条件待销售/产品确认</t>
  </si>
  <si>
    <t xml:space="preserve">未确定</t>
  </si>
  <si>
    <t xml:space="preserve">独立配置，不套C端</t>
  </si>
  <si>
    <t xml:space="preserve">实际企业/教育汇率待确认</t>
  </si>
  <si>
    <t xml:space="preserve">实际企业/教育优惠待确认</t>
  </si>
  <si>
    <t xml:space="preserve">按对应渠道资格</t>
  </si>
  <si>
    <t xml:space="preserve">按订单承诺履约</t>
  </si>
  <si>
    <t xml:space="preserve">不继承旧500/5000阈值</t>
  </si>
  <si>
    <t xml:space="preserve">DEC-17；MKT-P13～14</t>
  </si>
  <si>
    <t xml:space="preserve">记录类型</t>
  </si>
  <si>
    <t xml:space="preserve">产品</t>
  </si>
  <si>
    <t xml:space="preserve">席位 / 规则</t>
  </si>
  <si>
    <t xml:space="preserve">席位定义</t>
  </si>
  <si>
    <t xml:space="preserve">版本基础权益</t>
  </si>
  <si>
    <t xml:space="preserve">版本独有高阶权益</t>
  </si>
  <si>
    <t xml:space="preserve">积分权益</t>
  </si>
  <si>
    <t xml:space="preserve">市场标准价</t>
  </si>
  <si>
    <t xml:space="preserve">折扣区间</t>
  </si>
  <si>
    <t xml:space="preserve">首发售价</t>
  </si>
  <si>
    <t xml:space="preserve">客群</t>
  </si>
  <si>
    <t xml:space="preserve">特殊情况 / 政策</t>
  </si>
  <si>
    <t xml:space="preserve">原则</t>
  </si>
  <si>
    <t xml:space="preserve">B 端</t>
  </si>
  <si>
    <t xml:space="preserve">本轮处理</t>
  </si>
  <si>
    <t xml:space="preserve"/>
  </si>
  <si>
    <t xml:space="preserve">保留既有B端席位评审报价；AI并发、充值和增强/放大规则以AI权益最新成果为准；具体合同价和迁移仍待销售/财务确认。</t>
  </si>
  <si>
    <t xml:space="preserve">席位</t>
  </si>
  <si>
    <t xml:space="preserve">企业版</t>
  </si>
  <si>
    <t xml:space="preserve">专业席位</t>
  </si>
  <si>
    <t xml:space="preserve">一个账号在同一台机器上可同时登录 Arco、LITE、渲染器团队版，实现在线串流</t>
  </si>
  <si>
    <t xml:space="preserve">Arco；LITE；渲染器团队版</t>
  </si>
  <si>
    <t xml:space="preserve">多团队、TOKEN 额度管理（标准席位和基础席位后台统一管理额度分配，共享 AI 积分池）、SSO、权限控制、API 接口能力（开发中）</t>
  </si>
  <si>
    <t xml:space="preserve">40,000 积分/席，一年有效</t>
  </si>
  <si>
    <t xml:space="preserve">7–7.5 折</t>
  </si>
  <si>
    <t xml:space="preserve">大型客户</t>
  </si>
  <si>
    <t xml:space="preserve">首发价为底价；企业版无平台费，按人数席位收费；内部可将积分与软件、协作及管理价值拆账</t>
  </si>
  <si>
    <t xml:space="preserve">基础席位</t>
  </si>
  <si>
    <t xml:space="preserve">一个账号在同一台机器上可同时登录 Arco、LITE（免费功能权益）、渲染器（免费功能权益），通过线下导入导出实现串流</t>
  </si>
  <si>
    <t xml:space="preserve">Arco；LITE—仅限免费功能权益；渲染器—仅限免费功能权益</t>
  </si>
  <si>
    <t xml:space="preserve">Arco 多团队管理协作能力（开发中）</t>
  </si>
  <si>
    <t xml:space="preserve">22,000 积分/席，一年有效</t>
  </si>
  <si>
    <t xml:space="preserve">6–6.5 折</t>
  </si>
  <si>
    <t xml:space="preserve">基础席位溢价主要来自积分池化、协作和管理；企业版无平台费；最低席位数暂未确定</t>
  </si>
  <si>
    <t xml:space="preserve">团队版</t>
  </si>
  <si>
    <t xml:space="preserve">Token 池化管理：标准席位和基础席位共享 AI 积分池</t>
  </si>
  <si>
    <t xml:space="preserve">25,000 积分/席，一年有效</t>
  </si>
  <si>
    <t xml:space="preserve">中小型客户</t>
  </si>
  <si>
    <t xml:space="preserve">首发价为底价；按人数席位收费；可仅续费渲染器（无积分）；续费按届时价格与折扣</t>
  </si>
  <si>
    <t xml:space="preserve">Arco 单团队协作能力</t>
  </si>
  <si>
    <t xml:space="preserve">20,000 积分/席，一年有效</t>
  </si>
  <si>
    <t xml:space="preserve">基础席位溢价主要来自积分池化与团队协作；不强调纯软件收入；最低席位数暂未确定</t>
  </si>
  <si>
    <t xml:space="preserve">规则</t>
  </si>
  <si>
    <t xml:space="preserve">B 端通用</t>
  </si>
  <si>
    <t xml:space="preserve">赠送 1–2 个月</t>
  </si>
  <si>
    <t xml:space="preserve">积分有效期仍为 12 个月；赠送月份不增加积分</t>
  </si>
  <si>
    <t xml:space="preserve">赠送的是渲染器高阶使用权限</t>
  </si>
  <si>
    <t xml:space="preserve">团队版 / 企业版充值</t>
  </si>
  <si>
    <t xml:space="preserve">按企业价格配置</t>
  </si>
  <si>
    <t xml:space="preserve">旧金额阈值不再沿用</t>
  </si>
  <si>
    <t xml:space="preserve">企业汇率待确认</t>
  </si>
  <si>
    <t xml:space="preserve">按订单约定批次到期</t>
  </si>
  <si>
    <t xml:space="preserve">365天</t>
  </si>
  <si>
    <t xml:space="preserve">企业价格（待具体配置）</t>
  </si>
  <si>
    <t xml:space="preserve">团队开业活动50%</t>
  </si>
  <si>
    <t xml:space="preserve">企业开业活动60%</t>
  </si>
  <si>
    <t xml:space="preserve">团队版 / 企业版</t>
  </si>
  <si>
    <t xml:space="preserve">活动日期与叠加规则待确认；AI权益为唯一权益源</t>
  </si>
  <si>
    <t xml:space="preserve">积分归属</t>
  </si>
  <si>
    <t xml:space="preserve">C / B 隔离</t>
  </si>
  <si>
    <t xml:space="preserve">C 端个人积分不进入 B 端组织共享池</t>
  </si>
  <si>
    <t xml:space="preserve">个人积分与组织池隔离；C→B迁移须先确认席位、剩余价值折算、个人余额保留及生效流程。未有可执行折算公式，不套用C端A/B/C算法。</t>
  </si>
  <si>
    <t xml:space="preserve">仅渲染器续费</t>
  </si>
  <si>
    <t xml:space="preserve">无 AI 积分</t>
  </si>
  <si>
    <t xml:space="preserve">仅续费渲染器团队版；无 AI 积分；实际续费按届时有效价格及当期折扣，不延续首发底价</t>
  </si>
  <si>
    <t xml:space="preserve">参数 / 场景</t>
  </si>
  <si>
    <t xml:space="preserve">单积分成本假设(元)</t>
  </si>
  <si>
    <t xml:space="preserve">套餐积分/实付元</t>
  </si>
  <si>
    <t xml:space="preserve">单积分收入(元)</t>
  </si>
  <si>
    <t xml:space="preserve">模型成本/收入</t>
  </si>
  <si>
    <t xml:space="preserve">模型层毛利率</t>
  </si>
  <si>
    <t xml:space="preserve">价格引用</t>
  </si>
  <si>
    <t xml:space="preserve">边界</t>
  </si>
  <si>
    <t xml:space="preserve">治理说明</t>
  </si>
  <si>
    <t xml:space="preserve"/>
  </si>
  <si>
    <t xml:space="preserve">最终定价C与D基础版相同</t>
  </si>
  <si>
    <t xml:space="preserve">0.0233为未核实历史假设；不含税、支付、软件和运营。不测未确定充值，不拆专业软件收入。</t>
  </si>
  <si>
    <t xml:space="preserve">基础版 入门·月</t>
  </si>
  <si>
    <t xml:space="preserve">最终定价同档同周期</t>
  </si>
  <si>
    <t xml:space="preserve">仅假设测算；非实际毛利</t>
  </si>
  <si>
    <t xml:space="preserve">基础版 入门·首月</t>
  </si>
  <si>
    <t xml:space="preserve">基础版 入门·年</t>
  </si>
  <si>
    <t xml:space="preserve">基础版 轻量·月</t>
  </si>
  <si>
    <t xml:space="preserve">基础版 轻量·首月</t>
  </si>
  <si>
    <t xml:space="preserve">基础版 轻量·年</t>
  </si>
  <si>
    <t xml:space="preserve">基础版 标准·月</t>
  </si>
  <si>
    <t xml:space="preserve">基础版 标准·首月</t>
  </si>
  <si>
    <t xml:space="preserve">基础版 标准·年</t>
  </si>
  <si>
    <t xml:space="preserve">基础版 旗舰·月</t>
  </si>
  <si>
    <t xml:space="preserve">基础版 旗舰·首月</t>
  </si>
  <si>
    <t xml:space="preserve">基础版 旗舰·年</t>
  </si>
  <si>
    <t xml:space="preserve">规则 ID</t>
  </si>
  <si>
    <t xml:space="preserve">规则域</t>
  </si>
  <si>
    <t xml:space="preserve">最新口径</t>
  </si>
  <si>
    <t xml:space="preserve">状态</t>
  </si>
  <si>
    <t xml:space="preserve">关联 ToDo ID</t>
  </si>
  <si>
    <t xml:space="preserve">生效范围 / 决策点</t>
  </si>
  <si>
    <t xml:space="preserve">备注</t>
  </si>
  <si>
    <t xml:space="preserve">R-01</t>
  </si>
  <si>
    <t xml:space="preserve">命名与用量</t>
  </si>
  <si>
    <t xml:space="preserve">社区版；基础版、专业版各提供入门1000、轻量2700、标准6000、旗舰13000积分/月；不再沿用0x/1x/5x/10x及旧两档命名。</t>
  </si>
  <si>
    <t xml:space="preserve">名称与额度已确认；实际上架范围待确认</t>
  </si>
  <si>
    <t xml:space="preserve">DEC-09～10、MKT-P01～08、BKL-03</t>
  </si>
  <si>
    <t xml:space="preserve">2026-09-18最新方案</t>
  </si>
  <si>
    <t xml:space="preserve">最新定价与AI权益为依据；四档有价格不等于全部已上架。</t>
  </si>
  <si>
    <t xml:space="preserve">R-02</t>
  </si>
  <si>
    <t xml:space="preserve">价格唯一来源</t>
  </si>
  <si>
    <t xml:space="preserve">价格数值只引用「定价推演 （最终）」；「C端完整定价」为引用展示，不再维护独立价格。C列价格与D列调优价格分别保留；页面最终采用哪列待确认。</t>
  </si>
  <si>
    <t xml:space="preserve">源表已确认；展示列待确认</t>
  </si>
  <si>
    <t xml:space="preserve">DEC-01～06、DEC-11、MKT-P04～08</t>
  </si>
  <si>
    <t xml:space="preserve">2026-09-18用户指定最新成果；本轮源表不修改。</t>
  </si>
  <si>
    <t xml:space="preserve">R-03</t>
  </si>
  <si>
    <t xml:space="preserve">价格层级</t>
  </si>
  <si>
    <t xml:space="preserve">每档区分常规月价、首月价、年价；旧标准/长期/首发三套价格停止作为新方案依据。首月价仅首期，不永久锁价。</t>
  </si>
  <si>
    <t xml:space="preserve">按最新价表更新</t>
  </si>
  <si>
    <t xml:space="preserve">DEC-04～05、MKT-P04</t>
  </si>
  <si>
    <t xml:space="preserve">年价是独立金额，不用统一八折或软件固定加价反推。</t>
  </si>
  <si>
    <t xml:space="preserve">R-04</t>
  </si>
  <si>
    <t xml:space="preserve">购买周期</t>
  </si>
  <si>
    <t xml:space="preserve">最新表已给出年价，但不等于灰度开放年购；本轮开放周期待确认。此前灰度为单次月购、无自动续费；若开放年购，沿用单次购买、积分按月发放。</t>
  </si>
  <si>
    <t xml:space="preserve">开放范围待确认</t>
  </si>
  <si>
    <t xml:space="preserve">DEC-06、MKT-P05、REL-04</t>
  </si>
  <si>
    <t xml:space="preserve">未确认前不自动新增年付或自动续费入口。</t>
  </si>
  <si>
    <t xml:space="preserve">R-05</t>
  </si>
  <si>
    <t xml:space="preserve">首月优惠</t>
  </si>
  <si>
    <t xml:space="preserve">首月金额引用最新价表的首月行；正常月价引用月行。首购识别、旧用户资格、跨版本/周期共享及优惠活动叠加需产品确认。</t>
  </si>
  <si>
    <t xml:space="preserve">金额源已确认；资格待确认</t>
  </si>
  <si>
    <t xml:space="preserve">DEC-07～08、MKT-P19</t>
  </si>
  <si>
    <t xml:space="preserve">不沿用首发结束后才启用首购、首购年价600/2200等旧规则。</t>
  </si>
  <si>
    <t xml:space="preserve">R-06</t>
  </si>
  <si>
    <t xml:space="preserve">开业活动与履约</t>
  </si>
  <si>
    <t xml:space="preserve">AI权益列明前三个月活动：基础入门/轻量30%，基础标准/旗舰40%，专业入门/轻量40%，专业标准/旗舰50%；团队50%、企业60%。总赠送还是额外叠加、起止日和资格待确认。</t>
  </si>
  <si>
    <t xml:space="preserve">比例源已确认；计算口径待确认</t>
  </si>
  <si>
    <t xml:space="preserve">MKT-P20、MKT-A01～A07</t>
  </si>
  <si>
    <t xml:space="preserve">不直接叠加常态赠送或已取消的公测额外20%；既有订单按原承诺履约。</t>
  </si>
  <si>
    <t xml:space="preserve">R-07</t>
  </si>
  <si>
    <t xml:space="preserve">续购与自动续费</t>
  </si>
  <si>
    <t xml:space="preserve">此前个人灰度为单次月购，提前续购到原周期结束后衔接，届时发积分，到期不自动续费。本次未取得自动续费开放确认，不沿用连续包月锁价。</t>
  </si>
  <si>
    <t xml:space="preserve">沿用最近确认；新开放范围待确认</t>
  </si>
  <si>
    <t xml:space="preserve">DEC-18、MKT-P18、MKT-F02、REL-04</t>
  </si>
  <si>
    <t xml:space="preserve">历史自动续费订单单独处理；首月价不持续。</t>
  </si>
  <si>
    <t xml:space="preserve">R-08</t>
  </si>
  <si>
    <t xml:space="preserve">支付异常</t>
  </si>
  <si>
    <t xml:space="preserve">当前一次性购买区分未支付、支付结果未知、已支付待开通、已开通待发分；幂等与对账需真实联调。自动续费失败规则只适用于历史或后续实际开放的自动续费订单。</t>
  </si>
  <si>
    <t xml:space="preserve">待联调</t>
  </si>
  <si>
    <t xml:space="preserve">DEC-12、MKT-P17、REL-04</t>
  </si>
  <si>
    <t xml:space="preserve">不得把文案或表格通过当成支付验收。</t>
  </si>
  <si>
    <t xml:space="preserve">R-09</t>
  </si>
  <si>
    <t xml:space="preserve">套餐积分额度</t>
  </si>
  <si>
    <t xml:space="preserve">同档基础版与专业版总积分齐平：1000/2700/6000/13000每月。年行12000/32400/72000/156000为年度总额，不是每月额度；后台付费/赠送拆分另确认。</t>
  </si>
  <si>
    <t xml:space="preserve">总额度已确认</t>
  </si>
  <si>
    <t xml:space="preserve">DEC-20、MKT-P06～09</t>
  </si>
  <si>
    <t xml:space="preserve">不得额外给专业版叠加1000积分；前台不宣传未经确认的拆分。</t>
  </si>
  <si>
    <t xml:space="preserve">R-10</t>
  </si>
  <si>
    <t xml:space="preserve">积分发放与到期</t>
  </si>
  <si>
    <t xml:space="preserve">月购生效发当期积分，按积分月到期、不累计；提前续购在下一周期开始发放。开放年购时仍按月发，年总额不一次到账。积分月不等于自然月或固定30天。</t>
  </si>
  <si>
    <t xml:space="preserve">沿用已确认规则</t>
  </si>
  <si>
    <t xml:space="preserve">DEC-20、PM-02、MKT-P09</t>
  </si>
  <si>
    <t xml:space="preserve">月末、闰年、时区与幂等需联调。</t>
  </si>
  <si>
    <t xml:space="preserve">R-11</t>
  </si>
  <si>
    <t xml:space="preserve">分账与扣减</t>
  </si>
  <si>
    <t xml:space="preserve">免费积分→月度方案积分→充值积分；同类最早到期优先。来源与批次独立记录，不把冻结余额计为可用。</t>
  </si>
  <si>
    <t xml:space="preserve">按最近母版口径同步</t>
  </si>
  <si>
    <t xml:space="preserve">DEC-20、PM-02、MKT-P10</t>
  </si>
  <si>
    <t xml:space="preserve">替换旧全局最早到期及同日优先订阅的文案。</t>
  </si>
  <si>
    <t xml:space="preserve">R-12</t>
  </si>
  <si>
    <t xml:space="preserve">会员到期</t>
  </si>
  <si>
    <t xml:space="preserve">专业功能随会员到期失效；未过期充值积分暂时冻结，重新购买有效会员后恢复使用，原到期日不延长；免费积分按自身期限使用。</t>
  </si>
  <si>
    <t xml:space="preserve">DEC-20、MKT-R04、MKT-F02</t>
  </si>
  <si>
    <t xml:space="preserve">历史公测充值承诺单独核验，不一刀切改旧订单。</t>
  </si>
  <si>
    <t xml:space="preserve">R-13</t>
  </si>
  <si>
    <t xml:space="preserve">充值资格与汇率</t>
  </si>
  <si>
    <t xml:space="preserve">社区版不可充值；有效基础/专业会员可充值。50元起且50的倍数沿此前口径；新充值表为未确定版，20积分/元是候选，旧30积分/元停止作为已确认新方案宣传。</t>
  </si>
  <si>
    <t xml:space="preserve">汇率/门槛最终配置待确认</t>
  </si>
  <si>
    <t xml:space="preserve">DEC-17、MKT-P11、MKT-R01～02</t>
  </si>
  <si>
    <t xml:space="preserve">不能同时使用20积分/元和金额×30；金额计算暂不作为生产报价。</t>
  </si>
  <si>
    <t xml:space="preserve">R-14</t>
  </si>
  <si>
    <t xml:space="preserve">充值赠送与有效期</t>
  </si>
  <si>
    <t xml:space="preserve">常态按版本及档位：基础入门/轻量0%、标准/旗舰10%，专业入门/轻量10%、标准/旗舰20%；基础90天、专业180天，团队/企业365天。以AI权益为源，不再按旧500/5000阈值分档。</t>
  </si>
  <si>
    <t xml:space="preserve">C端常态比例及期限已确认</t>
  </si>
  <si>
    <t xml:space="preserve">DEC-17、MKT-P12、MKT-R03～04</t>
  </si>
  <si>
    <t xml:space="preserve">团队/企业为企业价格，教育为教育优惠，具体数值未给出；开业活动见R-06。</t>
  </si>
  <si>
    <t xml:space="preserve">R-15</t>
  </si>
  <si>
    <t xml:space="preserve">免费赠分与历史积分</t>
  </si>
  <si>
    <t xml:space="preserve">灰度下载Arco并登录一次性获300积分，365天有效；不新增白名单条件。取消公测额外20%只影响新活动，不追溯清零已发积分。历史充值和赠分按原批次承诺核验。</t>
  </si>
  <si>
    <t xml:space="preserve">沿用最近确认</t>
  </si>
  <si>
    <t xml:space="preserve">DEC-21、MKT-L03～07</t>
  </si>
  <si>
    <t xml:space="preserve">不使用旧统一清零时间；通知按真实到期批次发送。</t>
  </si>
  <si>
    <t xml:space="preserve">R-16</t>
  </si>
  <si>
    <t xml:space="preserve">升级路径</t>
  </si>
  <si>
    <t xml:space="preserve">同周期可在已开放SKU中升版本或提额，目标额度不降低；同档基础→专业额度相同，不补积分。基础版和专业版同版本提额均适用。纯月升年仅同版本同额度；其他月升年为混合类。</t>
  </si>
  <si>
    <t xml:space="preserve">机制已确认；SKU路径待联调</t>
  </si>
  <si>
    <t xml:space="preserve">DEC-19、PM-03、MKT-G01～04</t>
  </si>
  <si>
    <t xml:space="preserve">不同方案版本的老订单不自动迁移；基础高档→专业低档需单独决策。</t>
  </si>
  <si>
    <t xml:space="preserve">R-17</t>
  </si>
  <si>
    <t xml:space="preserve">升级结算与周期</t>
  </si>
  <si>
    <t xml:space="preserve">A同周期：价差×剩余计费比例，即时生效、到期日不变；首次升级以当期实付为源基准。B纯月升年：完整年费、原月到期衔接。C混合月升年：即时起完整年，基础来源全额，专业来源减软件实付剩余价值。</t>
  </si>
  <si>
    <t xml:space="preserve">机制沿用；年路径按开放范围启用</t>
  </si>
  <si>
    <t xml:space="preserve">DEC-19、PM-03、MKT-G01～03</t>
  </si>
  <si>
    <t xml:space="preserve">倒推软件价值只是价差观察，不自动等于订单的软件实付拆分；连续升级、金额舍入待联调。</t>
  </si>
  <si>
    <t xml:space="preserve">R-18</t>
  </si>
  <si>
    <t xml:space="preserve">升级积分</t>
  </si>
  <si>
    <t xml:space="preserve">A补发=向上取整[(目标月额度−当前月额度)×当前积分月剩余比例]，旧/补发积分原积分月末到期；同额度为0。B当前月不补发、不延期。C发目标首月完整额度，旧方案余额至新首月末，充值到期日不变。</t>
  </si>
  <si>
    <t xml:space="preserve">沿最近产品/母版规则同步</t>
  </si>
  <si>
    <t xml:space="preserve">DEC-19、MKT-G01～03</t>
  </si>
  <si>
    <t xml:space="preserve">年剩余计费比例与当月积分比例分开；不按未用积分折现金。</t>
  </si>
  <si>
    <t xml:space="preserve">R-19</t>
  </si>
  <si>
    <t xml:space="preserve">降级</t>
  </si>
  <si>
    <t xml:space="preserve">有效期内不支持自助降版本、降额度、年转月或预约降级；到期后重新选择。退款另走规则，不在降级说明中承诺拒退。</t>
  </si>
  <si>
    <t xml:space="preserve">沿用已确认范围</t>
  </si>
  <si>
    <t xml:space="preserve">MKT-G04、BKL-01</t>
  </si>
  <si>
    <t xml:space="preserve">服务端拒绝负补发、混合升降未开放路径。</t>
  </si>
  <si>
    <t xml:space="preserve">R-20</t>
  </si>
  <si>
    <t xml:space="preserve">退款</t>
  </si>
  <si>
    <t xml:space="preserve">沿现母版：积分为虚拟产品，原则上不退款，特殊情况转用户支持；最终退款条件、权益回收与财务法务流程待确认。</t>
  </si>
  <si>
    <t xml:space="preserve">文案沿用；执行流程待确认</t>
  </si>
  <si>
    <t xml:space="preserve">DEC-15、DEC-22、MKT-F05、MKT-L08</t>
  </si>
  <si>
    <t xml:space="preserve">不得将旧建议审核退款写成已批准政策。</t>
  </si>
  <si>
    <t xml:space="preserve">R-21</t>
  </si>
  <si>
    <t xml:space="preserve">团队企业权益与承接</t>
  </si>
  <si>
    <t xml:space="preserve">团队并发10、企业不限；均4K图片/视频、全部模型和商用、充值365天。AI增强/放大基础席位耗积分、专业席位不耗；协作项目数虽不限但暂未上线。价格走销售，不公开自助下单。</t>
  </si>
  <si>
    <t xml:space="preserve">AI权益已确认；销售承接待验收</t>
  </si>
  <si>
    <t xml:space="preserve">DEC-16、MKT-P03、MKT-P13～14</t>
  </si>
  <si>
    <t xml:space="preserve">保留现席位报价；旧充值阈值停用，企业价格具体配置待确认。</t>
  </si>
  <si>
    <t xml:space="preserve">R-22</t>
  </si>
  <si>
    <t xml:space="preserve">灰度范围</t>
  </si>
  <si>
    <t xml:space="preserve">四档价格和AI权益已形成最新成果；实际开放档位、月购/年购、人群、时间、SKU与回滚需确认。价格确定不等于可售与上线完成。</t>
  </si>
  <si>
    <t xml:space="preserve">待发布配置确认</t>
  </si>
  <si>
    <t xml:space="preserve">MKT-S01～S07、MKT-L01～02、REL-01</t>
  </si>
  <si>
    <t xml:space="preserve">此前仅单次月购口径在新决定前保留；不给缺失事项补结论。</t>
  </si>
  <si>
    <t xml:space="preserve">R-23</t>
  </si>
  <si>
    <t xml:space="preserve">开票与法务</t>
  </si>
  <si>
    <t xml:space="preserve">核对一次性月购、若开放的年购、积分、充值、升级、退款及开票；不自动套用自动续费授权。</t>
  </si>
  <si>
    <t xml:space="preserve">待实际审查</t>
  </si>
  <si>
    <t xml:space="preserve">DEC-14～15、MKT-L08</t>
  </si>
  <si>
    <t xml:space="preserve">文案更新不代表法律审核或开票已验收。</t>
  </si>
  <si>
    <t xml:space="preserve">R-24</t>
  </si>
  <si>
    <t xml:space="preserve">停单与并发</t>
  </si>
  <si>
    <t xml:space="preserve">按AI权益配置并发：社区2；基础和专业各档4/6/10/不限；团队10、企业不限、教育4。并发是本版明确权益，不能再列为首发不做。紧急停单/回滚仍需验收。</t>
  </si>
  <si>
    <t xml:space="preserve">并发已确认；工程待验收</t>
  </si>
  <si>
    <t xml:space="preserve">DEC-13、BKL-02</t>
  </si>
  <si>
    <t xml:space="preserve">不限不代表所有速率和服务治理限制均取消。</t>
  </si>
  <si>
    <t xml:space="preserve">场景</t>
  </si>
  <si>
    <t xml:space="preserve">生效时间</t>
  </si>
  <si>
    <t xml:space="preserve">新周期 / 到期日</t>
  </si>
  <si>
    <t xml:space="preserve">应付金额</t>
  </si>
  <si>
    <t xml:space="preserve">现有积分</t>
  </si>
  <si>
    <t xml:space="preserve">补发积分</t>
  </si>
  <si>
    <t xml:space="preserve">后续发放</t>
  </si>
  <si>
    <t xml:space="preserve">价格锁定 / 续费</t>
  </si>
  <si>
    <t xml:space="preserve">关联 ToDo</t>
  </si>
  <si>
    <t xml:space="preserve">状态</t>
  </si>
  <si>
    <t xml:space="preserve">社区版→已开放的基础/专业方案</t>
  </si>
  <si>
    <t xml:space="preserve">支付成功立即生效</t>
  </si>
  <si>
    <t xml:space="preserve">从购买日开始完整月或年周期</t>
  </si>
  <si>
    <t xml:space="preserve">按目标 SKU 当前完整周期价格支付</t>
  </si>
  <si>
    <t xml:space="preserve">无订阅积分继承问题</t>
  </si>
  <si>
    <t xml:space="preserve">按新购规则发首批积分</t>
  </si>
  <si>
    <t xml:space="preserve">从购买锚点按月发放</t>
  </si>
  <si>
    <t xml:space="preserve">首月优惠仅首期；次期价明确展示；年购单次支付不自动续费</t>
  </si>
  <si>
    <t xml:space="preserve">MKT-P06～08</t>
  </si>
  <si>
    <t xml:space="preserve">新购；周期以实际开放配置为准</t>
  </si>
  <si>
    <t xml:space="preserve">A类｜基础版→专业版（月→月；目标额度不降低）</t>
  </si>
  <si>
    <t xml:space="preserve">同周期：到期日及积分月发锚点不变</t>
  </si>
  <si>
    <t xml:space="preserve">应付＝（目标月价−当前月价）×原月周期剩余时长比例；按实际适用价格结算</t>
  </si>
  <si>
    <t xml:space="preserve">当前未用订阅积分保留；原到期日不变</t>
  </si>
  <si>
    <t xml:space="preserve">补发=向上取整[(目标月额度−当前月额度)×当前积分月剩余比例]；同档基础→专业为0；补发与旧积分原积分月末到期</t>
  </si>
  <si>
    <t xml:space="preserve">从原下一积分月起发完整目标月额度；年购仍逐月发放</t>
  </si>
  <si>
    <t xml:space="preserve">提前续购按R-07衔接；年路径仅在年购开放后启用</t>
  </si>
  <si>
    <t xml:space="preserve">MKT-G01、MKT-G04</t>
  </si>
  <si>
    <t xml:space="preserve">规则适用已开放SKU；4档按实际额度比较，不使用旧1x/5x/10x</t>
  </si>
  <si>
    <t xml:space="preserve">A类｜基础版→专业版（年→年；目标额度不降低）</t>
  </si>
  <si>
    <t xml:space="preserve">应付＝（目标年价−当前年价）×原年周期剩余时长比例；按实际适用价格结算</t>
  </si>
  <si>
    <t xml:space="preserve">MKT-G03～G04</t>
  </si>
  <si>
    <t xml:space="preserve">A类｜专业版提升用量（月→月；含同时提额）</t>
  </si>
  <si>
    <t xml:space="preserve">MKT-G02、MKT-G04</t>
  </si>
  <si>
    <t xml:space="preserve">A类｜专业版提升用量（年→年；含同时提额）</t>
  </si>
  <si>
    <t xml:space="preserve">MKT-G02～G04</t>
  </si>
  <si>
    <t xml:space="preserve">三类结算总则</t>
  </si>
  <si>
    <t xml:space="preserve">A同周期即时；B纯月升年到期；C混合月升年即时</t>
  </si>
  <si>
    <t xml:space="preserve">A保留周期；B原月到期起年；C当日起完整年</t>
  </si>
  <si>
    <t xml:space="preserve">A按差价×剩余比例；B完整年费；C基础来源全额年费，专业来源年费减软件剩余价值</t>
  </si>
  <si>
    <t xml:space="preserve">积分不折现抵扣；充值余额及到期日不变</t>
  </si>
  <si>
    <t xml:space="preserve">A按当前积分月补差；B无补发；C发新首月完整额度</t>
  </si>
  <si>
    <t xml:space="preserve">A保留原锚点；B年周期开始建立锚点；C升级日建立锚点</t>
  </si>
  <si>
    <t xml:space="preserve">首月及次期口径见R-07；原订单已承诺权益按R-06处理</t>
  </si>
  <si>
    <t xml:space="preserve">R-16～18；PM-03、MKT-G01～04</t>
  </si>
  <si>
    <t xml:space="preserve">业务规则已确认；计时精度、价格拆分与舍入待落地</t>
  </si>
  <si>
    <t xml:space="preserve">三类积分处理</t>
  </si>
  <si>
    <t xml:space="preserve">按对应升级类型生效</t>
  </si>
  <si>
    <t xml:space="preserve">仅C类旧订阅积分到期调整为新首个积分月末</t>
  </si>
  <si>
    <t xml:space="preserve">旧订阅积分保留、不折现；不重复计入现金抵扣</t>
  </si>
  <si>
    <t xml:space="preserve">A原批次原到期日；B当前月照常到期；C余额保留至新首月末</t>
  </si>
  <si>
    <t xml:space="preserve">A差额×当前积分月剩余比例；B无；C完整目标首月额度</t>
  </si>
  <si>
    <t xml:space="preserve">年购每月发放，不一次发全年；充值积分原有效期不变</t>
  </si>
  <si>
    <t xml:space="preserve">C类并非旧到期日再加1个月，也非顺延1年</t>
  </si>
  <si>
    <t xml:space="preserve">R-18；MKT-G01～03</t>
  </si>
  <si>
    <t xml:space="preserve">2026-09-11确认</t>
  </si>
  <si>
    <t xml:space="preserve">降级 / 取消</t>
  </si>
  <si>
    <t xml:space="preserve">当前周期不即时降级</t>
  </si>
  <si>
    <t xml:space="preserve">周期结束后重新选择</t>
  </si>
  <si>
    <t xml:space="preserve">不按降级规则自动退款；退款按R-20</t>
  </si>
  <si>
    <t xml:space="preserve">当前订阅积分按原/延长后的到期日使用</t>
  </si>
  <si>
    <t xml:space="preserve">不补发</t>
  </si>
  <si>
    <t xml:space="preserve">重新购买后按新档发放</t>
  </si>
  <si>
    <t xml:space="preserve">预约降级首期不做，后续再决策</t>
  </si>
  <si>
    <t xml:space="preserve">MKT-G04、BKL-01</t>
  </si>
  <si>
    <t xml:space="preserve">首期范围已确认</t>
  </si>
  <si>
    <t xml:space="preserve">首次购买首月优惠</t>
  </si>
  <si>
    <t xml:space="preserve">仅首次购买符合资格的首期</t>
  </si>
  <si>
    <t xml:space="preserve">每次续 1 个月</t>
  </si>
  <si>
    <t xml:space="preserve">首月用优惠价；次期按购买前明确展示的正常月价</t>
  </si>
  <si>
    <t xml:space="preserve">按订阅档位发放</t>
  </si>
  <si>
    <t xml:space="preserve">不因续费额外赠送</t>
  </si>
  <si>
    <t xml:space="preserve">每月正常发放</t>
  </si>
  <si>
    <t xml:space="preserve">首月金额引用最新源；优惠资格待确认</t>
  </si>
  <si>
    <t xml:space="preserve">MKT-P18、REL-04</t>
  </si>
  <si>
    <t xml:space="preserve">会议46:14–46:40机制确认；配置待批准</t>
  </si>
  <si>
    <t xml:space="preserve">正常月购 / 提前续购</t>
  </si>
  <si>
    <t xml:space="preserve">主动支付后预约衔接</t>
  </si>
  <si>
    <t xml:space="preserve">原周期结束后开始下一个月</t>
  </si>
  <si>
    <t xml:space="preserve">支付所选方案完整月费</t>
  </si>
  <si>
    <t xml:space="preserve">现有积分按原到期日处理</t>
  </si>
  <si>
    <t xml:space="preserve">新周期开始时发放</t>
  </si>
  <si>
    <t xml:space="preserve">按新周期发放</t>
  </si>
  <si>
    <t xml:space="preserve">单次购买，不自动续费</t>
  </si>
  <si>
    <t xml:space="preserve">沿最近灰度确认；本次周期范围待确认</t>
  </si>
  <si>
    <t xml:space="preserve">C 端年购</t>
  </si>
  <si>
    <t xml:space="preserve">新购立即；纯月升年在原月到期后生效；混合月升年立即</t>
  </si>
  <si>
    <t xml:space="preserve">从对应生效日开始完整1年；积分按月发放</t>
  </si>
  <si>
    <t xml:space="preserve">新购/纯月升年付完整年费；混合月升年按来源版本结算，见C类</t>
  </si>
  <si>
    <t xml:space="preserve">每批按月到期</t>
  </si>
  <si>
    <t xml:space="preserve">仅按活动规则发放</t>
  </si>
  <si>
    <t xml:space="preserve">每月发放，不一次性发全年</t>
  </si>
  <si>
    <t xml:space="preserve">不是订阅；到期按届时定价重新购买</t>
  </si>
  <si>
    <t xml:space="preserve">MKT-P05、REL-04</t>
  </si>
  <si>
    <t xml:space="preserve">年购机制保留；本轮是否开放待确认</t>
  </si>
  <si>
    <t xml:space="preserve">历史/未来自动续费扣款失败</t>
  </si>
  <si>
    <t xml:space="preserve">续费日触发</t>
  </si>
  <si>
    <t xml:space="preserve">宽限期与权益终止点待核实</t>
  </si>
  <si>
    <t xml:space="preserve">重试次数/间隔待服务端确认</t>
  </si>
  <si>
    <t xml:space="preserve">失败期间是否发积分待确认</t>
  </si>
  <si>
    <t xml:space="preserve">无</t>
  </si>
  <si>
    <t xml:space="preserve">成功重试后的锚点待确认</t>
  </si>
  <si>
    <t xml:space="preserve">成功重试是否保留锁价、最终失败通知待确认</t>
  </si>
  <si>
    <t xml:space="preserve">DEC-12、REL-04</t>
  </si>
  <si>
    <t xml:space="preserve">不适用当前单次月购；仅实际自动续费场景</t>
  </si>
  <si>
    <t xml:space="preserve">A类｜基础版同版本提额（月→月）</t>
  </si>
  <si>
    <t xml:space="preserve">应付＝（目标月价−当前月价）×原月周期剩余比例</t>
  </si>
  <si>
    <t xml:space="preserve">R-16～18；PM-03</t>
  </si>
  <si>
    <t xml:space="preserve">A类｜基础版同版本提额（年→年）</t>
  </si>
  <si>
    <t xml:space="preserve">应付＝（目标年价−当前年价）×原年周期剩余比例</t>
  </si>
  <si>
    <t xml:space="preserve">B类｜纯月升年：基础版同版本、同额度</t>
  </si>
  <si>
    <t xml:space="preserve">原月订阅到期时生效</t>
  </si>
  <si>
    <t xml:space="preserve">原月到期后开启完整1年；本月周期不变</t>
  </si>
  <si>
    <t xml:space="preserve">现在支付目标完整年费；本月剩余时长不抵扣</t>
  </si>
  <si>
    <t xml:space="preserve">本月积分照常使用、照常到期；不顺延</t>
  </si>
  <si>
    <t xml:space="preserve">当前月不补发；年周期开始发目标首月完整额度</t>
  </si>
  <si>
    <t xml:space="preserve">从新年周期起按月发放，每批按月到期</t>
  </si>
  <si>
    <t xml:space="preserve">年购为单次购买，到期重购</t>
  </si>
  <si>
    <t xml:space="preserve">年路径仅在开放年购及对应SKU后启用；真实结算待验收</t>
  </si>
  <si>
    <t xml:space="preserve">B类｜纯月升年：专业版同版本、同额度</t>
  </si>
  <si>
    <t xml:space="preserve">C类｜混合月升年：基础版月→基础版更高额度年</t>
  </si>
  <si>
    <t xml:space="preserve">升级日起重开完整1年；新积分月锚点为升级日</t>
  </si>
  <si>
    <t xml:space="preserve">支付目标完整年费；基础版无独立软件时间价值可抵扣</t>
  </si>
  <si>
    <t xml:space="preserve">当前剩余订阅积分保留，有效期至新首个积分月末</t>
  </si>
  <si>
    <t xml:space="preserve">发放目标新首月完整额度；与结转余额并存</t>
  </si>
  <si>
    <t xml:space="preserve">从升级日按月发放完整目标额度，不一次发全年</t>
  </si>
  <si>
    <t xml:space="preserve">年购到期重购；充值积分原到期日不变</t>
  </si>
  <si>
    <t xml:space="preserve">C类｜混合月升年：专业版月→专业版更高额度年</t>
  </si>
  <si>
    <t xml:space="preserve">目标完整年费−原专业版软件部分实付价值×原月剩余时长比例</t>
  </si>
  <si>
    <t xml:space="preserve">C类｜混合月升年：基础版月→专业版年（含同时提额）</t>
  </si>
  <si>
    <t xml:space="preserve">重复升级 / 可售范围</t>
  </si>
  <si>
    <t xml:space="preserve">每次按当前已生效档位判断</t>
  </si>
  <si>
    <t xml:space="preserve">重复同周期升级不重置周期；转年仍按B/C分类</t>
  </si>
  <si>
    <t xml:space="preserve">基于当前档位计算，避免重复扣减或重复抵扣</t>
  </si>
  <si>
    <t xml:space="preserve">按A/B/C处理；不追回已消费积分</t>
  </si>
  <si>
    <t xml:space="preserve">按当前档与目标档差额计算，不按最初档重复补发</t>
  </si>
  <si>
    <t xml:space="preserve">遵循对应分类的月发锚点</t>
  </si>
  <si>
    <t xml:space="preserve">四档实际可售范围由服务端确认；同订单回调幂等</t>
  </si>
  <si>
    <t xml:space="preserve">R-01、R-16～18；PM-03</t>
  </si>
  <si>
    <t xml:space="preserve">机制更新；SKU映射待验收</t>
  </si>
  <si>
    <t xml:space="preserve">不适用：年→月 / 专业→基础 / 降额度</t>
  </si>
  <si>
    <t xml:space="preserve">首期不做自助降级</t>
  </si>
  <si>
    <t xml:space="preserve">当前周期结束后重新选择</t>
  </si>
  <si>
    <t xml:space="preserve">不套用升级差价规则</t>
  </si>
  <si>
    <t xml:space="preserve">沿用有效批次规则</t>
  </si>
  <si>
    <t xml:space="preserve">不补发负数积分</t>
  </si>
  <si>
    <t xml:space="preserve">重新购买按新购规则</t>
  </si>
  <si>
    <t xml:space="preserve">基础→专业但积分额度降低属于混合升降，路径和结算需另定</t>
  </si>
  <si>
    <t xml:space="preserve">R-16、R-19；MKT-G04</t>
  </si>
  <si>
    <t xml:space="preserve">首期降级不开放；跨权益升降待确认</t>
  </si>
  <si>
    <t xml:space="preserve">待落地：计费细节与未生效年购订单</t>
  </si>
  <si>
    <t xml:space="preserve">具体实现待产品/财务确认</t>
  </si>
  <si>
    <t xml:space="preserve">计时精度、月末日期、舍入及已预约年周期变更待定义</t>
  </si>
  <si>
    <t xml:space="preserve">当前首次升级源价按当期实付；连续升级和专业软件实付拆分待定；倒推软件价值不直接作为折抵</t>
  </si>
  <si>
    <t xml:space="preserve">不得将含积分的整单余额抵扣后再完整结转积分</t>
  </si>
  <si>
    <t xml:space="preserve">赠送/付费积分拆分及取整实现需校验</t>
  </si>
  <si>
    <t xml:space="preserve">已付纯月升年尚未生效时再升级，需先处理原年购订单</t>
  </si>
  <si>
    <t xml:space="preserve">不得因再次升级重复收取整笔年费</t>
  </si>
  <si>
    <t xml:space="preserve">PM-03；R-17～18</t>
  </si>
  <si>
    <t xml:space="preserve">阻塞真实订单结算；抽象比例用例可先开发</t>
  </si>
  <si>
    <t xml:space="preserve">编号/类型</t>
  </si>
  <si>
    <t xml:space="preserve">主题</t>
  </si>
  <si>
    <t xml:space="preserve">结论 / 开发约束</t>
  </si>
  <si>
    <t xml:space="preserve">状态</t>
  </si>
  <si>
    <t xml:space="preserve">来源 / 位置</t>
  </si>
  <si>
    <t xml:space="preserve">归口</t>
  </si>
  <si>
    <t xml:space="preserve">备注</t>
  </si>
  <si>
    <t xml:space="preserve">版本</t>
  </si>
  <si>
    <t xml:space="preserve">D5-PRICING-SYNC-20260918</t>
  </si>
  <si>
    <t xml:space="preserve">最新成果作为唯一来源，其他表与To Do、母版同步</t>
  </si>
  <si>
    <t xml:space="preserve">本轮复核</t>
  </si>
  <si>
    <t xml:space="preserve">快照基线rev726</t>
  </si>
  <si>
    <t xml:space="preserve">市场/产品</t>
  </si>
  <si>
    <t xml:space="preserve">不修改定价推演（最终）和AI权益</t>
  </si>
  <si>
    <t xml:space="preserve">源01</t>
  </si>
  <si>
    <t xml:space="preserve">价格</t>
  </si>
  <si>
    <t xml:space="preserve">四档；CNY价与调优价并存；页显采用列待确认</t>
  </si>
  <si>
    <t xml:space="preserve">成果已确认</t>
  </si>
  <si>
    <t xml:space="preserve">定价推演 （最终）</t>
  </si>
  <si>
    <t xml:space="preserve">不按旧2000+1000结构推导</t>
  </si>
  <si>
    <t xml:space="preserve">源02</t>
  </si>
  <si>
    <t xml:space="preserve">AI权益</t>
  </si>
  <si>
    <t xml:space="preserve">并发、分辨率、模型、商用、充值、增强/放大与未上线协作</t>
  </si>
  <si>
    <t xml:space="preserve">AI 权益</t>
  </si>
  <si>
    <t xml:space="preserve">产品</t>
  </si>
  <si>
    <t xml:space="preserve">空白分享链接不补猜</t>
  </si>
  <si>
    <t xml:space="preserve">同步01</t>
  </si>
  <si>
    <t xml:space="preserve">C端完整定价</t>
  </si>
  <si>
    <t xml:space="preserve">重建为公式引用视图；清理独立旧价格与参数</t>
  </si>
  <si>
    <t xml:space="preserve">本轮更新</t>
  </si>
  <si>
    <t xml:space="preserve">市场</t>
  </si>
  <si>
    <t xml:space="preserve">历史订单不追溯</t>
  </si>
  <si>
    <t xml:space="preserve">同步02</t>
  </si>
  <si>
    <t xml:space="preserve">首发与年付口径</t>
  </si>
  <si>
    <t xml:space="preserve">区分首月/月/年和两列价格；不强制8折</t>
  </si>
  <si>
    <t xml:space="preserve">年价存在不等于已上架</t>
  </si>
  <si>
    <t xml:space="preserve">同步03</t>
  </si>
  <si>
    <t xml:space="preserve">充值与毛利</t>
  </si>
  <si>
    <t xml:space="preserve">充值按档位权益，20汇率仅候选；模型成本仅假设</t>
  </si>
  <si>
    <t xml:space="preserve">充值包；成本与毛利</t>
  </si>
  <si>
    <t xml:space="preserve">产品/财务</t>
  </si>
  <si>
    <t xml:space="preserve">不把未定方案当生产</t>
  </si>
  <si>
    <t xml:space="preserve">同步04</t>
  </si>
  <si>
    <t xml:space="preserve">用例引用</t>
  </si>
  <si>
    <t xml:space="preserve">修复已删除灰度源导致的REF；新用例使用最终源</t>
  </si>
  <si>
    <t xml:space="preserve">已修复；16个新方案算术用例通过</t>
  </si>
  <si>
    <t xml:space="preserve">新方案验收用例</t>
  </si>
  <si>
    <t xml:space="preserve">测试</t>
  </si>
  <si>
    <t xml:space="preserve">旧算法夹具明确历史边界</t>
  </si>
  <si>
    <t xml:space="preserve">P01</t>
  </si>
  <si>
    <t xml:space="preserve">实际开放范围</t>
  </si>
  <si>
    <t xml:space="preserve">四档开放范围、月购/年购、上架时间与人群需确认</t>
  </si>
  <si>
    <t xml:space="preserve">待确认</t>
  </si>
  <si>
    <t xml:space="preserve">R-04/R-22</t>
  </si>
  <si>
    <t xml:space="preserve">产品/市场</t>
  </si>
  <si>
    <t xml:space="preserve">未确认保持此前灰度单次月购约束</t>
  </si>
  <si>
    <t xml:space="preserve">P02</t>
  </si>
  <si>
    <t xml:space="preserve">页面采用价格列</t>
  </si>
  <si>
    <t xml:space="preserve">CNY价与调优价同时保存，需锁定页面/订单采用列</t>
  </si>
  <si>
    <t xml:space="preserve">R-02</t>
  </si>
  <si>
    <t xml:space="preserve">不改最新源</t>
  </si>
  <si>
    <t xml:space="preserve">P03</t>
  </si>
  <si>
    <t xml:space="preserve">充值及开业活动</t>
  </si>
  <si>
    <t xml:space="preserve">最终充值汇率/门槛、总赠送或额外叠加、活动起止与资格</t>
  </si>
  <si>
    <t xml:space="preserve">R-06/R-13/R-14</t>
  </si>
  <si>
    <t xml:space="preserve">最新常态比例与期限已知</t>
  </si>
  <si>
    <t xml:space="preserve">P04</t>
  </si>
  <si>
    <t xml:space="preserve">升级订单计费</t>
  </si>
  <si>
    <t xml:space="preserve">首次用当期实付；连续升级基准、时间与金额舍入、软件实付拆分需验收</t>
  </si>
  <si>
    <t xml:space="preserve">待联调/确认</t>
  </si>
  <si>
    <t xml:space="preserve">R-17/R-18</t>
  </si>
  <si>
    <t xml:space="preserve">倒推软件价差不直接作折抵</t>
  </si>
  <si>
    <t xml:space="preserve">P05</t>
  </si>
  <si>
    <t xml:space="preserve">历史迁移</t>
  </si>
  <si>
    <t xml:space="preserve">旧方案与新方案按订单版本隔离；余额、兑换/赠送期和迁移资格另核</t>
  </si>
  <si>
    <t xml:space="preserve">R-15/R-16</t>
  </si>
  <si>
    <t xml:space="preserve">产品/研发</t>
  </si>
  <si>
    <t xml:space="preserve">不得追溯改价或清零</t>
  </si>
  <si>
    <t xml:space="preserve">P06</t>
  </si>
  <si>
    <t xml:space="preserve">退款开票与法务</t>
  </si>
  <si>
    <t xml:space="preserve">规则及现有支持入口需业务/财务/法务确认</t>
  </si>
  <si>
    <t xml:space="preserve">待验收</t>
  </si>
  <si>
    <t xml:space="preserve">R-20/R-23</t>
  </si>
  <si>
    <t xml:space="preserve">财务/法务</t>
  </si>
  <si>
    <t xml:space="preserve">文案更新不等于批准</t>
  </si>
  <si>
    <t xml:space="preserve">P07</t>
  </si>
  <si>
    <t xml:space="preserve">真实端到端</t>
  </si>
  <si>
    <t xml:space="preserve">支付、开通、发分、回调幂等、异常、退款与回滚</t>
  </si>
  <si>
    <t xml:space="preserve">待真实环境验收</t>
  </si>
  <si>
    <t xml:space="preserve">To Do</t>
  </si>
  <si>
    <t xml:space="preserve">研发/测试</t>
  </si>
  <si>
    <t xml:space="preserve">不能标为表格已通过即上线可用</t>
  </si>
  <si>
    <t xml:space="preserve">P08</t>
  </si>
  <si>
    <t xml:space="preserve">未上线/空白权益</t>
  </si>
  <si>
    <t xml:space="preserve">协作项目数尚未上线；分享链接为空；不补承诺</t>
  </si>
  <si>
    <t xml:space="preserve">待后续产品补充</t>
  </si>
  <si>
    <t xml:space="preserve">AI 权益 L/J列</t>
  </si>
  <si>
    <t xml:space="preserve">教育优惠与企业价格无具体金额</t>
  </si>
  <si>
    <t xml:space="preserve">验收</t>
  </si>
  <si>
    <t xml:space="preserve">证据位置</t>
  </si>
  <si>
    <t xml:space="preserve">回读快照、写入清单、公式检查、独立数值核验存本轮证据包</t>
  </si>
  <si>
    <t xml:space="preserve">回读后登记</t>
  </si>
  <si>
    <t xml:space="preserve">deliverables/pricing-sync-20260918</t>
  </si>
  <si>
    <t xml:space="preserve">本轮</t>
  </si>
  <si>
    <t xml:space="preserve">未完成项保留待确认</t>
  </si>
  <si>
    <t xml:space="preserve">验收01</t>
  </si>
  <si>
    <t xml:space="preserve">原生公式检查</t>
  </si>
  <si>
    <t xml:space="preserve">717个公式，0错误；14张表检查，最新两表仅只读。</t>
  </si>
  <si>
    <t xml:space="preserve">表格层通过</t>
  </si>
  <si>
    <t xml:space="preserve">verify与回读</t>
  </si>
  <si>
    <t xml:space="preserve">2026-09-18</t>
  </si>
  <si>
    <t xml:space="preserve">不代表支付或发布验收</t>
  </si>
  <si>
    <t xml:space="preserve">验收02</t>
  </si>
  <si>
    <t xml:space="preserve">独立结果核对</t>
  </si>
  <si>
    <t xml:space="preserve">16个新用例、9项权益对照通过；两源表未动；133项任务日期、Owner、勾选保留。</t>
  </si>
  <si>
    <t xml:space="preserve">通过</t>
  </si>
  <si>
    <t xml:space="preserve">独立回读</t>
  </si>
  <si>
    <t xml:space="preserve">发布配置待确认</t>
  </si>
  <si>
    <t xml:space="preserve">验收03</t>
  </si>
  <si>
    <t xml:space="preserve">页面同步范围</t>
  </si>
  <si>
    <t xml:space="preserve">To Do与母版已更新；白板、Demo、公开网页及真实页面需另行校准。</t>
  </si>
  <si>
    <t xml:space="preserve">资料已同步；页面待验收</t>
  </si>
  <si>
    <t xml:space="preserve">MKT-GRAY-07/08</t>
  </si>
  <si>
    <t xml:space="preserve">未发布或发送通知</t>
  </si>
  <si>
    <t xml:space="preserve"/>
  </si>
  <si>
    <t xml:space="preserve">用例ID</t>
  </si>
  <si>
    <t xml:space="preserve">场景</t>
  </si>
  <si>
    <t xml:space="preserve">算法类</t>
  </si>
  <si>
    <t xml:space="preserve">原周期价P0</t>
  </si>
  <si>
    <t xml:space="preserve">目标周期价P1</t>
  </si>
  <si>
    <t xml:space="preserve">剩余计费比例r</t>
  </si>
  <si>
    <t xml:space="preserve">剩余积分月比例m</t>
  </si>
  <si>
    <t xml:space="preserve">软件实付S0</t>
  </si>
  <si>
    <t xml:space="preserve">原月额度Q0</t>
  </si>
  <si>
    <t xml:space="preserve">目标月额度Q1</t>
  </si>
  <si>
    <t xml:space="preserve">旧订阅余额</t>
  </si>
  <si>
    <t xml:space="preserve">应付计算</t>
  </si>
  <si>
    <t xml:space="preserve">独立预期应付</t>
  </si>
  <si>
    <t xml:space="preserve">本次发分计算</t>
  </si>
  <si>
    <t xml:space="preserve">独立预期发分</t>
  </si>
  <si>
    <t xml:space="preserve">核对结果</t>
  </si>
  <si>
    <t xml:space="preserve">周期断言</t>
  </si>
  <si>
    <t xml:space="preserve">旧积分断言</t>
  </si>
  <si>
    <t xml:space="preserve">范围 / 边界</t>
  </si>
  <si>
    <t xml:space="preserve">依据</t>
  </si>
  <si>
    <t xml:space="preserve">A01</t>
  </si>
  <si>
    <t xml:space="preserve">基础月1x→5x</t>
  </si>
  <si>
    <t xml:space="preserve">A</t>
  </si>
  <si>
    <t xml:space="preserve">原到期日和积分月锚点不变</t>
  </si>
  <si>
    <t xml:space="preserve">旧积分原到期日不变</t>
  </si>
  <si>
    <t xml:space="preserve">历史方案数值夹具；不用于新方案售价/可售判定；新用例见新方案验收用例</t>
  </si>
  <si>
    <t xml:space="preserve">S01/S02；R-17/R-18</t>
  </si>
  <si>
    <t xml:space="preserve">A02</t>
  </si>
  <si>
    <t xml:space="preserve">专业月0x→1x</t>
  </si>
  <si>
    <t xml:space="preserve">A03</t>
  </si>
  <si>
    <t xml:space="preserve">基础月→专业月同档</t>
  </si>
  <si>
    <t xml:space="preserve">A04</t>
  </si>
  <si>
    <t xml:space="preserve">基础年1x→5x</t>
  </si>
  <si>
    <t xml:space="preserve">A05</t>
  </si>
  <si>
    <t xml:space="preserve">专业年0x→1x</t>
  </si>
  <si>
    <t xml:space="preserve">A06</t>
  </si>
  <si>
    <t xml:space="preserve">基础年→专业年同档</t>
  </si>
  <si>
    <t xml:space="preserve">B01</t>
  </si>
  <si>
    <t xml:space="preserve">基础同版本同额度月→年</t>
  </si>
  <si>
    <t xml:space="preserve">B</t>
  </si>
  <si>
    <t xml:space="preserve">原月到期后开启完整年</t>
  </si>
  <si>
    <t xml:space="preserve">B02</t>
  </si>
  <si>
    <t xml:space="preserve">专业同版本同额度月→年</t>
  </si>
  <si>
    <t xml:space="preserve">C01</t>
  </si>
  <si>
    <t xml:space="preserve">基础月1x→基础年5x</t>
  </si>
  <si>
    <t xml:space="preserve">C_BASIC</t>
  </si>
  <si>
    <t xml:space="preserve">升级日开启完整年与新积分月</t>
  </si>
  <si>
    <t xml:space="preserve">旧余额500保留至新首个积分月末；充值不变</t>
  </si>
  <si>
    <t xml:space="preserve">C02</t>
  </si>
  <si>
    <t xml:space="preserve">专业月0x→专业年1x</t>
  </si>
  <si>
    <t xml:space="preserve">C_PRO</t>
  </si>
  <si>
    <t xml:space="preserve">C03</t>
  </si>
  <si>
    <t xml:space="preserve">基础月→专业年</t>
  </si>
  <si>
    <t xml:space="preserve">A07</t>
  </si>
  <si>
    <t xml:space="preserve">重复升级：当前基础5x→10x</t>
  </si>
  <si>
    <t xml:space="preserve">A08</t>
  </si>
  <si>
    <t xml:space="preserve">同周期起点比例1</t>
  </si>
  <si>
    <t xml:space="preserve">A09</t>
  </si>
  <si>
    <t xml:space="preserve">同周期结束数学边界比例0</t>
  </si>
  <si>
    <t xml:space="preserve">A10</t>
  </si>
  <si>
    <t xml:space="preserve">本月积分已用完仍按时间补差</t>
  </si>
  <si>
    <t xml:space="preserve">C04</t>
  </si>
  <si>
    <t xml:space="preserve">专业含积分套餐月→更高额度年</t>
  </si>
  <si>
    <t xml:space="preserve">旧余额1600保留至新首个积分月末；充值不变</t>
  </si>
  <si>
    <t xml:space="preserve">C05</t>
  </si>
  <si>
    <t xml:space="preserve">专业混合升级旧积分为0</t>
  </si>
  <si>
    <t xml:space="preserve">旧余额0保留至新首个积分月末；充值不变</t>
  </si>
  <si>
    <t xml:space="preserve">A11</t>
  </si>
  <si>
    <t xml:space="preserve">年剩余1/2、积分月剩余1/4</t>
  </si>
  <si>
    <t xml:space="preserve">测试说明</t>
  </si>
  <si>
    <t xml:space="preserve">旧方案算法夹具归档：D:O数值只用于历史算法回归，不是最新价格。新方案请看新方案验收用例。下方改为最新充值权益校验，不测未确认汇率与活动叠加。</t>
  </si>
  <si>
    <t xml:space="preserve">ID</t>
  </si>
  <si>
    <t xml:space="preserve">版本档位</t>
  </si>
  <si>
    <t xml:space="preserve">权益源行</t>
  </si>
  <si>
    <t xml:space="preserve">常态赠送原文</t>
  </si>
  <si>
    <t xml:space="preserve">独立预期</t>
  </si>
  <si>
    <t xml:space="preserve">有效期原文</t>
  </si>
  <si>
    <t xml:space="preserve">并发源</t>
  </si>
  <si>
    <t xml:space="preserve">视频规格源</t>
  </si>
  <si>
    <t xml:space="preserve">核对</t>
  </si>
  <si>
    <t xml:space="preserve">活动原文</t>
  </si>
  <si>
    <t xml:space="preserve">活动使用边界</t>
  </si>
  <si>
    <t xml:space="preserve">来源</t>
  </si>
  <si>
    <t xml:space="preserve">验收层级</t>
  </si>
  <si>
    <t xml:space="preserve">R01</t>
  </si>
  <si>
    <t xml:space="preserve">基础版 入门</t>
  </si>
  <si>
    <t xml:space="preserve">标准价格</t>
  </si>
  <si>
    <t xml:space="preserve">90天</t>
  </si>
  <si>
    <t xml:space="preserve">720 P</t>
  </si>
  <si>
    <t xml:space="preserve">叠加与日期待确认</t>
  </si>
  <si>
    <t xml:space="preserve">AI 权益</t>
  </si>
  <si>
    <t xml:space="preserve">仅表格权益一致性，非支付验收</t>
  </si>
  <si>
    <t xml:space="preserve">R02</t>
  </si>
  <si>
    <t xml:space="preserve">基础版 轻量</t>
  </si>
  <si>
    <t xml:space="preserve">4K</t>
  </si>
  <si>
    <t xml:space="preserve">R03</t>
  </si>
  <si>
    <t xml:space="preserve">基础版 标准</t>
  </si>
  <si>
    <t xml:space="preserve">额外赠送10%</t>
  </si>
  <si>
    <t xml:space="preserve">R04</t>
  </si>
  <si>
    <t xml:space="preserve">基础版 旗舰</t>
  </si>
  <si>
    <t xml:space="preserve">不限</t>
  </si>
  <si>
    <t xml:space="preserve">R05</t>
  </si>
  <si>
    <t xml:space="preserve">专业版 入门</t>
  </si>
  <si>
    <t xml:space="preserve">180天</t>
  </si>
  <si>
    <t xml:space="preserve">R06</t>
  </si>
  <si>
    <t xml:space="preserve">专业版 轻量</t>
  </si>
  <si>
    <t xml:space="preserve">R07</t>
  </si>
  <si>
    <t xml:space="preserve">专业版 标准</t>
  </si>
  <si>
    <t xml:space="preserve">额外赠送20%</t>
  </si>
  <si>
    <t xml:space="preserve">R08</t>
  </si>
  <si>
    <t xml:space="preserve">专业版 旗舰</t>
  </si>
  <si>
    <t xml:space="preserve">R09</t>
  </si>
  <si>
    <t xml:space="preserve">社区不可充值</t>
  </si>
  <si>
    <t xml:space="preserve">不可充值</t>
  </si>
  <si>
    <t xml:space="preserve"/>
  </si>
  <si>
    <t xml:space="preserve">资格实现待验收</t>
  </si>
  <si>
    <t xml:space="preserve">边界</t>
  </si>
  <si>
    <t xml:space="preserve">新汇率20为候选；充值报价未确定，移除旧30及500/5000金额阶梯算术，避免生成虚假的通过结果。</t>
  </si>
  <si>
    <t xml:space="preserve">规则ID</t>
  </si>
  <si>
    <t xml:space="preserve">资料主题</t>
  </si>
  <si>
    <t xml:space="preserve">补充规则 / 开发要求</t>
  </si>
  <si>
    <t xml:space="preserve">确认状态</t>
  </si>
  <si>
    <t xml:space="preserve">依据</t>
  </si>
  <si>
    <t xml:space="preserve">尚需补充 / 验收边界</t>
  </si>
  <si>
    <t xml:space="preserve">责任归口（建议）</t>
  </si>
  <si>
    <t xml:space="preserve">G-01</t>
  </si>
  <si>
    <t xml:space="preserve">价格/权益来源</t>
  </si>
  <si>
    <t xml:space="preserve">价格数值只引用「定价推演 （最终）」；「C端完整定价」为引用展示，不再维护独立价格。C列价格与D列调优价格分别保留；页面最终采用哪列待确认。</t>
  </si>
  <si>
    <t xml:space="preserve">源表已确认；展示列待确认</t>
  </si>
  <si>
    <t xml:space="preserve">R-02；定价推演（最终）/AI权益</t>
  </si>
  <si>
    <t xml:space="preserve">2026-09-18用户指定最新成果；本轮源表不修改。</t>
  </si>
  <si>
    <t xml:space="preserve">按原任务归口推进</t>
  </si>
  <si>
    <t xml:space="preserve">G-02</t>
  </si>
  <si>
    <t xml:space="preserve">可售配置</t>
  </si>
  <si>
    <t xml:space="preserve">四档价格和AI权益已形成最新成果；实际开放档位、月购/年购、人群、时间、SKU与回滚需确认。价格确定不等于可售与上线完成。</t>
  </si>
  <si>
    <t xml:space="preserve">待发布配置确认</t>
  </si>
  <si>
    <t xml:space="preserve">R-22；定价推演（最终）/AI权益</t>
  </si>
  <si>
    <t xml:space="preserve">此前仅单次月购口径在新决定前保留；不给缺失事项补结论。</t>
  </si>
  <si>
    <t xml:space="preserve">G-03</t>
  </si>
  <si>
    <t xml:space="preserve">同档积分齐平</t>
  </si>
  <si>
    <t xml:space="preserve">同档基础版与专业版总积分齐平：1000/2700/6000/13000每月。年行12000/32400/72000/156000为年度总额，不是每月额度；后台付费/赠送拆分另确认。</t>
  </si>
  <si>
    <t xml:space="preserve">总额度已确认</t>
  </si>
  <si>
    <t xml:space="preserve">R-09；定价推演（最终）/AI权益</t>
  </si>
  <si>
    <t xml:space="preserve">不得额外给专业版叠加1000积分；前台不宣传未经确认的拆分。</t>
  </si>
  <si>
    <t xml:space="preserve">G-04</t>
  </si>
  <si>
    <t xml:space="preserve">价格采用列</t>
  </si>
  <si>
    <t xml:space="preserve">G-05</t>
  </si>
  <si>
    <t xml:space="preserve">价格展示</t>
  </si>
  <si>
    <t xml:space="preserve">每档区分常规月价、首月价、年价；旧标准/长期/首发三套价格停止作为新方案依据。首月价仅首期，不永久锁价。</t>
  </si>
  <si>
    <t xml:space="preserve">按最新价表更新</t>
  </si>
  <si>
    <t xml:space="preserve">R-03；定价推演（最终）/AI权益</t>
  </si>
  <si>
    <t xml:space="preserve">年价是独立金额，不用统一八折或软件固定加价反推。</t>
  </si>
  <si>
    <t xml:space="preserve">G-06</t>
  </si>
  <si>
    <t xml:space="preserve">首购资格</t>
  </si>
  <si>
    <t xml:space="preserve">首月金额引用最新价表的首月行；正常月价引用月行。首购识别、旧用户资格、跨版本/周期共享及优惠活动叠加需产品确认。</t>
  </si>
  <si>
    <t xml:space="preserve">金额源已确认；资格待确认</t>
  </si>
  <si>
    <t xml:space="preserve">R-05；定价推演（最终）/AI权益</t>
  </si>
  <si>
    <t xml:space="preserve">不沿用首发结束后才启用首购、首购年价600/2200等旧规则。</t>
  </si>
  <si>
    <t xml:space="preserve">G-07</t>
  </si>
  <si>
    <t xml:space="preserve">年购与月发</t>
  </si>
  <si>
    <t xml:space="preserve">最新表已给出年价，但不等于灰度开放年购；本轮开放周期待确认。此前灰度为单次月购、无自动续费；若开放年购，沿用单次购买、积分按月发放。</t>
  </si>
  <si>
    <t xml:space="preserve">开放范围待确认</t>
  </si>
  <si>
    <t xml:space="preserve">R-04；定价推演（最终）/AI权益</t>
  </si>
  <si>
    <t xml:space="preserve">未确认前不自动新增年付或自动续费入口。</t>
  </si>
  <si>
    <t xml:space="preserve">G-08</t>
  </si>
  <si>
    <t xml:space="preserve">A类升级</t>
  </si>
  <si>
    <t xml:space="preserve">A同周期：价差×剩余计费比例，即时生效、到期日不变；首次升级以当期实付为源基准。B纯月升年：完整年费、原月到期衔接。C混合月升年：即时起完整年，基础来源全额，专业来源减软件实付剩余价值。</t>
  </si>
  <si>
    <t xml:space="preserve">机制沿用；年路径按开放范围启用</t>
  </si>
  <si>
    <t xml:space="preserve">R-17；定价推演（最终）/AI权益</t>
  </si>
  <si>
    <t xml:space="preserve">倒推软件价值只是价差观察，不自动等于订单的软件实付拆分；连续升级、金额舍入待联调。</t>
  </si>
  <si>
    <t xml:space="preserve">G-09</t>
  </si>
  <si>
    <t xml:space="preserve">积分补发</t>
  </si>
  <si>
    <t xml:space="preserve">A补发=向上取整[(目标月额度−当前月额度)×当前积分月剩余比例]，旧/补发积分原积分月末到期；同额度为0。B当前月不补发、不延期。C发目标首月完整额度，旧方案余额至新首月末，充值到期日不变。</t>
  </si>
  <si>
    <t xml:space="preserve">沿最近产品/母版规则同步</t>
  </si>
  <si>
    <t xml:space="preserve">R-18；定价推演（最终）/AI权益</t>
  </si>
  <si>
    <t xml:space="preserve">年剩余计费比例与当月积分比例分开；不按未用积分折现金。</t>
  </si>
  <si>
    <t xml:space="preserve">G-10</t>
  </si>
  <si>
    <t xml:space="preserve">B类纯月升年</t>
  </si>
  <si>
    <t xml:space="preserve">同周期可在已开放SKU中升版本或提额，目标额度不降低；同档基础→专业额度相同，不补积分。基础版和专业版同版本提额均适用。纯月升年仅同版本同额度；其他月升年为混合类。</t>
  </si>
  <si>
    <t xml:space="preserve">机制已确认；SKU路径待联调</t>
  </si>
  <si>
    <t xml:space="preserve">R-16；定价推演（最终）/AI权益</t>
  </si>
  <si>
    <t xml:space="preserve">不同方案版本的老订单不自动迁移；基础高档→专业低档需单独决策。</t>
  </si>
  <si>
    <t xml:space="preserve">G-11</t>
  </si>
  <si>
    <t xml:space="preserve">C类混合月升年</t>
  </si>
  <si>
    <t xml:space="preserve">G-12</t>
  </si>
  <si>
    <t xml:space="preserve">未开放路径</t>
  </si>
  <si>
    <t xml:space="preserve">有效期内不支持自助降版本、降额度、年转月或预约降级；到期后重新选择。退款另走规则，不在降级说明中承诺拒退。</t>
  </si>
  <si>
    <t xml:space="preserve">沿用已确认范围</t>
  </si>
  <si>
    <t xml:space="preserve">R-19；定价推演（最终）/AI权益</t>
  </si>
  <si>
    <t xml:space="preserve">服务端拒绝负补发、混合升降未开放路径。</t>
  </si>
  <si>
    <t xml:space="preserve">G-13</t>
  </si>
  <si>
    <t xml:space="preserve">历史方案履约</t>
  </si>
  <si>
    <t xml:space="preserve">灰度下载Arco并登录一次性获300积分，365天有效；不新增白名单条件。取消公测额外20%只影响新活动，不追溯清零已发积分。历史充值和赠分按原批次承诺核验。</t>
  </si>
  <si>
    <t xml:space="preserve">沿用最近确认</t>
  </si>
  <si>
    <t xml:space="preserve">R-15；定价推演（最终）/AI权益</t>
  </si>
  <si>
    <t xml:space="preserve">不使用旧统一清零时间；通知按真实到期批次发送。</t>
  </si>
  <si>
    <t xml:space="preserve">G-14</t>
  </si>
  <si>
    <t xml:space="preserve">价格与订单留证</t>
  </si>
  <si>
    <t xml:space="preserve">订单保留方案版本、真实SKU、所用价格列/价版本、实付、折扣、月额度、权益版本、活动版本、起止日、积分批次、升级分类与回调幂等键。</t>
  </si>
  <si>
    <t xml:space="preserve">开发要求，待联调</t>
  </si>
  <si>
    <t xml:space="preserve">保障同名不同方案不串单</t>
  </si>
  <si>
    <t xml:space="preserve">服务端实际字段名/状态机/幂等键待研发落地</t>
  </si>
  <si>
    <t xml:space="preserve">研发</t>
  </si>
  <si>
    <t xml:space="preserve">G-15</t>
  </si>
  <si>
    <t xml:space="preserve">额度与余额</t>
  </si>
  <si>
    <t xml:space="preserve">G-16</t>
  </si>
  <si>
    <t xml:space="preserve">充值权益</t>
  </si>
  <si>
    <t xml:space="preserve">常态按版本及档位：基础入门/轻量0%、标准/旗舰10%，专业入门/轻量10%、标准/旗舰20%；基础90天、专业180天，团队/企业365天。以AI权益为源，不再按旧500/5000阈值分档。</t>
  </si>
  <si>
    <t xml:space="preserve">C端常态比例及期限已确认</t>
  </si>
  <si>
    <t xml:space="preserve">R-14；定价推演（最终）/AI权益</t>
  </si>
  <si>
    <t xml:space="preserve">团队/企业为企业价格，教育为教育优惠，具体数值未给出；开业活动见R-06。</t>
  </si>
  <si>
    <t xml:space="preserve">G-17</t>
  </si>
  <si>
    <t xml:space="preserve">并发与权益</t>
  </si>
  <si>
    <t xml:space="preserve">按AI权益配置并发：社区2；基础和专业各档4/6/10/不限；团队10、企业不限、教育4。并发是本版明确权益，不能再列为首发不做。紧急停单/回滚仍需验收。</t>
  </si>
  <si>
    <t xml:space="preserve">并发已确认；工程待验收</t>
  </si>
  <si>
    <t xml:space="preserve">R-24；定价推演（最终）/AI权益</t>
  </si>
  <si>
    <t xml:space="preserve">不限不代表所有速率和服务治理限制均取消。</t>
  </si>
  <si>
    <t xml:space="preserve">G-18</t>
  </si>
  <si>
    <t xml:space="preserve">支付及异常</t>
  </si>
  <si>
    <t xml:space="preserve">当前一次性购买区分未支付、支付结果未知、已支付待开通、已开通待发分；幂等与对账需真实联调。自动续费失败规则只适用于历史或后续实际开放的自动续费订单。</t>
  </si>
  <si>
    <t xml:space="preserve">待联调</t>
  </si>
  <si>
    <t xml:space="preserve">R-08；定价推演（最终）/AI权益</t>
  </si>
  <si>
    <t xml:space="preserve">不得把文案或表格通过当成支付验收。</t>
  </si>
  <si>
    <t xml:space="preserve">G-19</t>
  </si>
  <si>
    <t xml:space="preserve">发布资料</t>
  </si>
  <si>
    <t xml:space="preserve">G-20</t>
  </si>
  <si>
    <t xml:space="preserve">四档命名</t>
  </si>
  <si>
    <t xml:space="preserve">社区版；基础版、专业版各提供入门1000、轻量2700、标准6000、旗舰13000积分/月；不再沿用0x/1x/5x/10x及旧两档命名。</t>
  </si>
  <si>
    <t xml:space="preserve">名称与额度已确认；实际上架范围待确认</t>
  </si>
  <si>
    <t xml:space="preserve">R-01；定价推演（最终）/AI权益</t>
  </si>
  <si>
    <t xml:space="preserve">最新定价与AI权益为依据；四档有价格不等于全部已上架。</t>
  </si>
  <si>
    <t xml:space="preserve">G-21</t>
  </si>
  <si>
    <t xml:space="preserve">替代旧计价假设</t>
  </si>
  <si>
    <t xml:space="preserve">G-22</t>
  </si>
  <si>
    <t xml:space="preserve">清理旧3210/3120差异</t>
  </si>
  <si>
    <t xml:space="preserve">G-23</t>
  </si>
  <si>
    <t xml:space="preserve">新验收覆盖</t>
  </si>
  <si>
    <t xml:space="preserve">G-24</t>
  </si>
  <si>
    <t xml:space="preserve">发布前资料</t>
  </si>
  <si>
    <t xml:space="preserve">核对一次性月购、若开放的年购、积分、充值、升级、退款及开票；不自动套用自动续费授权。</t>
  </si>
  <si>
    <t xml:space="preserve">待实际审查</t>
  </si>
  <si>
    <t xml:space="preserve">R-23；定价推演（最终）/AI权益</t>
  </si>
  <si>
    <t xml:space="preserve">文案更新不代表法律审核或开票已验收。</t>
  </si>
  <si>
    <t xml:space="preserve">V-01</t>
  </si>
  <si>
    <t xml:space="preserve">复查范围与版本</t>
  </si>
  <si>
    <t xml:space="preserve">本轮更新旧引用资料与任务；定价推演（最终）和AI权益仅只读引用。</t>
  </si>
  <si>
    <t xml:space="preserve">回读通过；两个最新源表未改动</t>
  </si>
  <si>
    <t xml:space="preserve">当前工作簿</t>
  </si>
  <si>
    <t xml:space="preserve">最终revision见本轮证据包</t>
  </si>
  <si>
    <t xml:space="preserve">复查</t>
  </si>
  <si>
    <t xml:space="preserve">V-02</t>
  </si>
  <si>
    <t xml:space="preserve">数值与公式</t>
  </si>
  <si>
    <t xml:space="preserve">旧灰度源引用失效；本轮新方案用例改为最新价格源，并保留独立预期结果。</t>
  </si>
  <si>
    <t xml:space="preserve">16个新算例、9项权益对照通过；支付待联调</t>
  </si>
  <si>
    <t xml:space="preserve">新方案验收用例</t>
  </si>
  <si>
    <t xml:space="preserve">原表零错误不代表规则和输入完整</t>
  </si>
  <si>
    <t xml:space="preserve">G-25</t>
  </si>
  <si>
    <t xml:space="preserve">成本与充值基准</t>
  </si>
  <si>
    <t xml:space="preserve">社区版不可充值；有效基础/专业会员可充值。50元起且50的倍数沿此前口径；新充值表为未确定版，20积分/元是候选，旧30积分/元停止作为已确认新方案宣传。</t>
  </si>
  <si>
    <t xml:space="preserve">汇率/门槛最终配置待确认</t>
  </si>
  <si>
    <t xml:space="preserve">R-13；定价推演（最终）/AI权益</t>
  </si>
  <si>
    <t xml:space="preserve">不能同时使用20积分/元和金额×30；金额计算暂不作为生产报价。</t>
  </si>
  <si>
    <t xml:space="preserve">ID</t>
  </si>
  <si>
    <t xml:space="preserve">场景（调优价算术用例）</t>
  </si>
  <si>
    <t xml:space="preserve">分类</t>
  </si>
  <si>
    <t xml:space="preserve">原周期价格</t>
  </si>
  <si>
    <t xml:space="preserve">目标周期价格</t>
  </si>
  <si>
    <t xml:space="preserve">剩余周期比例</t>
  </si>
  <si>
    <t xml:space="preserve">原月积分</t>
  </si>
  <si>
    <t xml:space="preserve">目标月积分</t>
  </si>
  <si>
    <t xml:space="preserve">旧余额（夹具）</t>
  </si>
  <si>
    <t xml:space="preserve">应付计算</t>
  </si>
  <si>
    <t xml:space="preserve">独立预期应付</t>
  </si>
  <si>
    <t xml:space="preserve">本次新发积分</t>
  </si>
  <si>
    <t xml:space="preserve">独立预期新发</t>
  </si>
  <si>
    <t xml:space="preserve">检查</t>
  </si>
  <si>
    <t xml:space="preserve">周期断言</t>
  </si>
  <si>
    <t xml:space="preserve">使用边界</t>
  </si>
  <si>
    <t xml:space="preserve">N01</t>
  </si>
  <si>
    <t xml:space="preserve">基础入门月→专业入门月</t>
  </si>
  <si>
    <t xml:space="preserve">A</t>
  </si>
  <si>
    <t xml:space="preserve">A不变；B原月到期衔接；C即时起新年；NEW按购买/续购生效时点</t>
  </si>
  <si>
    <t xml:space="preserve">按调优列作算术情景；不是上线选列决定；年购开放另确认</t>
  </si>
  <si>
    <t xml:space="preserve">N02</t>
  </si>
  <si>
    <t xml:space="preserve">基础入门年→专业入门年</t>
  </si>
  <si>
    <t xml:space="preserve">N03</t>
  </si>
  <si>
    <t xml:space="preserve">基础入门纯月升年</t>
  </si>
  <si>
    <t xml:space="preserve">B</t>
  </si>
  <si>
    <t xml:space="preserve">N04</t>
  </si>
  <si>
    <t xml:space="preserve">专业入门纯月升年</t>
  </si>
  <si>
    <t xml:space="preserve">N05</t>
  </si>
  <si>
    <t xml:space="preserve">基础入门月→专业轻量年</t>
  </si>
  <si>
    <t xml:space="preserve">C</t>
  </si>
  <si>
    <t xml:space="preserve">N06</t>
  </si>
  <si>
    <t xml:space="preserve">同档积分已用完</t>
  </si>
  <si>
    <t xml:space="preserve">N07</t>
  </si>
  <si>
    <t xml:space="preserve">混合升级旧余额为0</t>
  </si>
  <si>
    <t xml:space="preserve">N08</t>
  </si>
  <si>
    <t xml:space="preserve">基础入门→轻量比例1</t>
  </si>
  <si>
    <t xml:space="preserve">N09</t>
  </si>
  <si>
    <t xml:space="preserve">同周期比例0边界</t>
  </si>
  <si>
    <t xml:space="preserve">N10</t>
  </si>
  <si>
    <t xml:space="preserve">首月实付39升级轻量</t>
  </si>
  <si>
    <t xml:space="preserve">N11</t>
  </si>
  <si>
    <t xml:space="preserve">首购基础入门</t>
  </si>
  <si>
    <t xml:space="preserve">NEW</t>
  </si>
  <si>
    <t xml:space="preserve">N12</t>
  </si>
  <si>
    <t xml:space="preserve">首购专业入门</t>
  </si>
  <si>
    <t xml:space="preserve">N13</t>
  </si>
  <si>
    <t xml:space="preserve">新购基础轻量年</t>
  </si>
  <si>
    <t xml:space="preserve">N14</t>
  </si>
  <si>
    <t xml:space="preserve">新购专业旗舰年</t>
  </si>
  <si>
    <t xml:space="preserve">N15</t>
  </si>
  <si>
    <t xml:space="preserve">基础标准正常月续购</t>
  </si>
  <si>
    <t xml:space="preserve">N16</t>
  </si>
  <si>
    <t xml:space="preserve">专业旗舰正常月续购</t>
  </si>
  <si>
    <t xml:space="preserve"/>
  </si>
  <si>
    <t xml:space="preserve">本表验证调优价格情景算术，不证明可售、支付或上线。年测试当前月积分比例在同档案例为0差额；高档年升级用独立积分月比例。</t>
  </si>
  <si>
    <t xml:space="preserve">验收ID</t>
  </si>
  <si>
    <t xml:space="preserve">业务边界</t>
  </si>
  <si>
    <t xml:space="preserve">预期行为</t>
  </si>
  <si>
    <t xml:space="preserve">状态</t>
  </si>
  <si>
    <t xml:space="preserve">M01</t>
  </si>
  <si>
    <t xml:space="preserve">同档基础→专业</t>
  </si>
  <si>
    <t xml:space="preserve">积分不额外叠加1000；同周期不补分</t>
  </si>
  <si>
    <t xml:space="preserve">待真实联调</t>
  </si>
  <si>
    <t xml:space="preserve">M02</t>
  </si>
  <si>
    <t xml:space="preserve">纯与混合月升年</t>
  </si>
  <si>
    <t xml:space="preserve">同版本同额度才B；升版本或提额为C</t>
  </si>
  <si>
    <t xml:space="preserve">年购开放后联调</t>
  </si>
  <si>
    <t xml:space="preserve">M03</t>
  </si>
  <si>
    <t xml:space="preserve">旧方案迁移</t>
  </si>
  <si>
    <t xml:space="preserve">识别原订单价格/权益版本，不自动覆盖历史承诺</t>
  </si>
  <si>
    <t xml:space="preserve">迁移待确认</t>
  </si>
  <si>
    <t xml:space="preserve">M04</t>
  </si>
  <si>
    <t xml:space="preserve">四档SKU</t>
  </si>
  <si>
    <t xml:space="preserve">按真实可售名单拒绝未开放SKU</t>
  </si>
  <si>
    <t xml:space="preserve">开放范围待确认</t>
  </si>
  <si>
    <t xml:space="preserve">M05</t>
  </si>
  <si>
    <t xml:space="preserve">支付回调重试</t>
  </si>
  <si>
    <t xml:space="preserve">不重复扣款/发积分</t>
  </si>
  <si>
    <t xml:space="preserve">待联调</t>
  </si>
  <si>
    <t xml:space="preserve">M06</t>
  </si>
  <si>
    <t xml:space="preserve">软件价值拆分</t>
  </si>
  <si>
    <t xml:space="preserve">倒推价差不自动作为软件实付抵扣</t>
  </si>
  <si>
    <t xml:space="preserve">财务/产品待确认</t>
  </si>
  <si>
    <t xml:space="preserve">M07</t>
  </si>
  <si>
    <t xml:space="preserve">月末/闰年</t>
  </si>
  <si>
    <t xml:space="preserve">统一锚点与舍入，不固定30天</t>
  </si>
  <si>
    <t xml:space="preserve">M08</t>
  </si>
  <si>
    <t xml:space="preserve">开业活动</t>
  </si>
  <si>
    <t xml:space="preserve">常态与活动分开，不自动叠加</t>
  </si>
  <si>
    <t xml:space="preserve">口径待确认</t>
  </si>
  <si>
    <t xml:space="preserve">展示ID</t>
  </si>
  <si>
    <t xml:space="preserve">项目</t>
  </si>
  <si>
    <t xml:space="preserve">自动引用结果</t>
  </si>
  <si>
    <t xml:space="preserve">独立预期</t>
  </si>
  <si>
    <t xml:space="preserve">D01</t>
  </si>
  <si>
    <t xml:space="preserve">基础入门年购月均</t>
  </si>
  <si>
    <t xml:space="preserve">D02</t>
  </si>
  <si>
    <t xml:space="preserve">基础入门年购较12次正常月购节省</t>
  </si>
  <si>
    <t xml:space="preserve">D03</t>
  </si>
  <si>
    <t xml:space="preserve">基础入门首月优惠加11次正常月购</t>
  </si>
  <si>
    <t xml:space="preserve">D04</t>
  </si>
  <si>
    <t xml:space="preserve">基础入门年购较优惠首年节省</t>
  </si>
  <si>
    <t xml:space="preserve">D05</t>
  </si>
  <si>
    <t xml:space="preserve">专业入门年购月均</t>
  </si>
  <si>
    <t xml:space="preserve">D06</t>
  </si>
  <si>
    <t xml:space="preserve">专业入门年购较正常全年节省</t>
  </si>
  <si>
    <t xml:space="preserve">基础版｜月价呈现定价</t>
  </si>
  <si>
    <t xml:space="preserve">专业版｜同档积分齐平</t>
  </si>
  <si>
    <t xml:space="preserve">档位</t>
  </si>
  <si>
    <t xml:space="preserve">计费</t>
  </si>
  <si>
    <t xml:space="preserve">价格(CNY)</t>
  </si>
  <si>
    <t xml:space="preserve">价格(USD)</t>
  </si>
  <si>
    <t xml:space="preserve">月均积分</t>
  </si>
  <si>
    <t xml:space="preserve">单积分(USD)</t>
  </si>
  <si>
    <t xml:space="preserve">较充值基准节省</t>
  </si>
  <si>
    <t xml:space="preserve">全年金额(CNY)</t>
  </si>
  <si>
    <t xml:space="preserve">年购较常规月购省</t>
  </si>
  <si>
    <t xml:space="preserve">单位积分价较上一档省</t>
  </si>
  <si>
    <t xml:space="preserve">均值积分（积分/元）</t>
  </si>
  <si>
    <t xml:space="preserve">每千积分(CNY)</t>
  </si>
  <si>
    <t xml:space="preserve">年度总积分</t>
  </si>
  <si>
    <t xml:space="preserve">同档专业能力价差</t>
  </si>
  <si>
    <t xml:space="preserve">月</t>
  </si>
  <si>
    <t xml:space="preserve">首月</t>
  </si>
  <si>
    <t xml:space="preserve">年（折合月价）</t>
  </si>
  <si>
    <t xml:space="preserve">年行价格＝全年实付÷12；月均积分按月发放。年度总积分不代表一次到账。</t>
  </si>
  <si>
    <t xml:space="preserve">专业版单位积分与积分/元按整包价格计算，含专业能力，仅作套餐价值比较。</t>
  </si>
  <si>
    <t xml:space="preserve">全年金额：月行是常规月购×12的比较值；年行是全年实付；首月行留空。</t>
  </si>
  <si>
    <t xml:space="preserve">年购优惠仅与12个月常规月购比较，不与首月价比较；不包含充值赠送或活动。</t>
  </si>
  <si>
    <t xml:space="preserve">相邻档位优惠按同计费方式的单位积分价格比较；入门留空。节省为负表示更贵。</t>
  </si>
  <si>
    <t xml:space="preserve">专业能力价差用于价格对照，不直接等同于升级订单的软件实付折抵。</t>
  </si>
  <si>
    <t xml:space="preserve">参数区为本表唯一输入来源；修改价格、额度或专业加价，主表自动联动。此表独立推演，不替换既有价格与权益。</t>
  </si>
  <si>
    <t xml:space="preserve">可编辑参数｜基础价格与专业能力加价</t>
  </si>
  <si>
    <t xml:space="preserve">比较参数｜可编辑，非正式报价确认</t>
  </si>
  <si>
    <t xml:space="preserve">每月积分</t>
  </si>
  <si>
    <t xml:space="preserve">基础常规月价</t>
  </si>
  <si>
    <t xml:space="preserve">基础首月价</t>
  </si>
  <si>
    <t xml:space="preserve">基础年购月均</t>
  </si>
  <si>
    <t xml:space="preserve">专业月购加价</t>
  </si>
  <si>
    <t xml:space="preserve">专业首月加价</t>
  </si>
  <si>
    <t xml:space="preserve">专业年购月均加价</t>
  </si>
  <si>
    <t xml:space="preserve">人民币/美元</t>
  </si>
  <si>
    <t xml:space="preserve">沿参考图，仅用于换算对照</t>
  </si>
  <si>
    <t xml:space="preserve">入门</t>
  </si>
  <si>
    <t xml:space="preserve">充值基准（积分/元）</t>
  </si>
  <si>
    <t xml:space="preserve">比较假设；不代表正式充值报价</t>
  </si>
  <si>
    <t xml:space="preserve">轻量</t>
  </si>
  <si>
    <t xml:space="preserve">标准</t>
  </si>
  <si>
    <t xml:space="preserve">首月仅适用于符合条件的首次购买；本表不替代首购资格及活动规则。</t>
  </si>
  <si>
    <t xml:space="preserve">旗舰</t>
  </si>
  <si>
    <t xml:space="preserve">金额、数量保留完整计算精度；显示金额2位、单位价格4位、折扣2位小数。</t>
  </si>
  <si>
    <t xml:space="preserve">核对摘要｜年购价格、优惠及积分均价</t>
  </si>
  <si>
    <t xml:space="preserve">基础年费</t>
  </si>
  <si>
    <t xml:space="preserve">专业年费</t>
  </si>
  <si>
    <t xml:space="preserve">基础年购省</t>
  </si>
  <si>
    <t xml:space="preserve">专业年购省</t>
  </si>
  <si>
    <t xml:space="preserve">基础年购积分/元</t>
  </si>
  <si>
    <t xml:space="preserve">专业年购积分/元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</si>
</sst>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7">
    <numFmt numFmtId="164" formatCode="General"/>
    <numFmt numFmtId="165" formatCode="@"/>
    <numFmt numFmtId="166" formatCode="General"/>
    <numFmt numFmtId="167" formatCode="#,##0"/>
    <numFmt numFmtId="168" formatCode="¥#,##0.00"/>
    <numFmt numFmtId="169" formatCode="General"/>
    <numFmt numFmtId="170" formatCode="¥#,##0.00"/>
    <numFmt numFmtId="171" formatCode="¥#,##0.00"/>
    <numFmt numFmtId="172" formatCode="$0.00"/>
    <numFmt numFmtId="173" formatCode="#,##0"/>
    <numFmt numFmtId="174" formatCode="$0.0000"/>
    <numFmt numFmtId="175" formatCode="0.0%"/>
    <numFmt numFmtId="176" formatCode="0"/>
    <numFmt numFmtId="177" formatCode="0%"/>
    <numFmt numFmtId="178" formatCode="@"/>
    <numFmt numFmtId="179" formatCode="@"/>
    <numFmt numFmtId="180" formatCode="General"/>
    <numFmt numFmtId="181" formatCode="@"/>
    <numFmt numFmtId="182" formatCode="#,##0&quot; 元/席/年&quot;"/>
    <numFmt numFmtId="183" formatCode="#,##0&quot; 元/年&quot;"/>
    <numFmt numFmtId="184" formatCode="General"/>
    <numFmt numFmtId="185" formatCode="0.0000"/>
    <numFmt numFmtId="186" formatCode="0.00%"/>
    <numFmt numFmtId="187" formatCode="General"/>
    <numFmt numFmtId="188" formatCode="General"/>
    <numFmt numFmtId="189" formatCode="General"/>
    <numFmt numFmtId="190" formatCode="0.########"/>
    <numFmt numFmtId="191" formatCode="0%"/>
    <numFmt numFmtId="192" formatCode="General"/>
    <numFmt numFmtId="193" formatCode="General"/>
    <numFmt numFmtId="194" formatCode="¥#,##0.00"/>
    <numFmt numFmtId="195" formatCode="$0.00"/>
    <numFmt numFmtId="196" formatCode="#,##0"/>
    <numFmt numFmtId="197" formatCode="$0.0000"/>
    <numFmt numFmtId="198" formatCode="0.00%"/>
    <numFmt numFmtId="199" formatCode="0.00"/>
    <numFmt numFmtId="200" formatCode="0.0"/>
  </numFmts>
  <fonts count="21">
    <font>
      <sz val="12"/>
      <color theme="1"/>
      <name val="Calibri"/>
      <family val="2"/>
      <scheme val="minor"/>
    </font>
    <font>
      <b val="true"/>
      <sz val="10"/>
      <color rgb="FFFFFFFF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3"/>
      <color rgb="FFFFFFFF"/>
      <name val="Calibri"/>
      <family val="2"/>
      <scheme val="minor"/>
    </font>
    <font>
      <sz val="9"/>
      <color rgb="FF1F1F1F"/>
      <name val="Calibri"/>
      <family val="2"/>
      <scheme val="minor"/>
    </font>
    <font>
      <sz val="8"/>
      <color rgb="FF7F6000"/>
      <name val="Calibri"/>
      <family val="2"/>
      <scheme val="minor"/>
    </font>
    <font>
      <b val="true"/>
      <sz val="9"/>
      <color rgb="FFFFFFFF"/>
      <name val="Calibri"/>
      <family val="2"/>
      <scheme val="minor"/>
    </font>
    <font>
      <strike val="true"/>
      <sz val="10"/>
      <color rgb="FF000000"/>
      <name val="Calibri"/>
      <family val="2"/>
      <scheme val="minor"/>
    </font>
    <font>
      <b val="true"/>
      <sz val="11"/>
      <color rgb="FFFFFFFF"/>
      <name val="Calibri"/>
      <family val="2"/>
      <scheme val="minor"/>
    </font>
    <font>
      <i val="true"/>
      <sz val="10"/>
      <color rgb="FF666666"/>
      <name val="Calibri"/>
      <family val="2"/>
      <scheme val="minor"/>
    </font>
    <font>
      <b val="true"/>
      <sz val="11"/>
      <color rgb="FF333333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rgb="FF2447CE"/>
      <name val="Calibri"/>
      <family val="2"/>
      <scheme val="minor"/>
    </font>
    <font>
      <b val="true"/>
      <sz val="14"/>
      <color rgb="FFFFFFFF"/>
      <name val="Calibri"/>
      <family val="2"/>
      <scheme val="minor"/>
    </font>
    <font>
      <b val="true"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rgb="FF666666"/>
      <name val="Calibri"/>
      <family val="2"/>
      <scheme val="minor"/>
    </font>
    <font>
      <strike val="true"/>
      <sz val="9"/>
      <color rgb="FF333333"/>
      <name val="Calibri"/>
      <family val="2"/>
      <scheme val="minor"/>
    </font>
  </fonts>
  <fills count="7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F4E78"/>
        <bgColor/>
      </patternFill>
    </fill>
    <fill>
      <patternFill patternType="solid">
        <fgColor rgb="FFEAF2F8"/>
        <bgColor/>
      </patternFill>
    </fill>
    <fill>
      <patternFill patternType="solid">
        <fgColor rgb="FFFFF4CC"/>
        <bgColor/>
      </patternFill>
    </fill>
    <fill>
      <patternFill patternType="solid">
        <fgColor rgb="FFE2F0D9"/>
        <bgColor/>
      </patternFill>
    </fill>
    <fill>
      <patternFill patternType="solid">
        <fgColor rgb="FFFCE8E6"/>
        <bgColor/>
      </patternFill>
    </fill>
    <fill>
      <patternFill patternType="solid">
        <fgColor rgb="FF1F4E78"/>
        <bgColor/>
      </patternFill>
    </fill>
    <fill>
      <patternFill patternType="solid">
        <fgColor rgb="FFD9EAF7"/>
        <bgColor/>
      </patternFill>
    </fill>
    <fill>
      <patternFill patternType="solid">
        <fgColor rgb="FFFFF2CC"/>
        <bgColor/>
      </patternFill>
    </fill>
    <fill>
      <patternFill patternType="solid">
        <fgColor rgb="FF4472C4"/>
        <bgColor/>
      </patternFill>
    </fill>
    <fill>
      <patternFill patternType="solid">
        <fgColor rgb="FFE2F0D9"/>
        <bgColor/>
      </patternFill>
    </fill>
    <fill>
      <patternFill patternType="solid">
        <fgColor rgb="FFEAF2F8"/>
        <bgColor/>
      </patternFill>
    </fill>
    <fill>
      <patternFill patternType="solid">
        <fgColor rgb="FFFFF4CC"/>
        <bgColor/>
      </patternFill>
    </fill>
    <fill>
      <patternFill patternType="solid">
        <fgColor rgb="FFE4DFEC"/>
        <bgColor/>
      </patternFill>
    </fill>
    <fill>
      <patternFill patternType="solid">
        <fgColor rgb="FFECE2FE"/>
        <bgColor/>
      </patternFill>
    </fill>
    <fill>
      <patternFill patternType="solid">
        <fgColor rgb="FFFBBFBC"/>
        <bgColor/>
      </patternFill>
    </fill>
    <fill>
      <patternFill patternType="solid">
        <fgColor rgb="FFF2F2F2"/>
        <bgColor/>
      </patternFill>
    </fill>
    <fill>
      <patternFill patternType="solid">
        <fgColor rgb="FFDDEBF7"/>
        <bgColor/>
      </patternFill>
    </fill>
    <fill>
      <patternFill patternType="solid">
        <fgColor rgb="FF1F4E78"/>
        <bgColor/>
      </patternFill>
    </fill>
    <fill>
      <patternFill patternType="solid">
        <fgColor rgb="FFFFF4CC"/>
        <bgColor/>
      </patternFill>
    </fill>
    <fill>
      <patternFill patternType="solid">
        <fgColor rgb="FFEAF2F8"/>
        <bgColor/>
      </patternFill>
    </fill>
    <fill>
      <patternFill patternType="solid">
        <fgColor rgb="FFFFFFFF"/>
        <bgColor/>
      </patternFill>
    </fill>
    <fill>
      <patternFill patternType="solid">
        <fgColor rgb="FF404040"/>
        <bgColor/>
      </patternFill>
    </fill>
    <fill>
      <patternFill patternType="solid">
        <fgColor rgb="FFD9F3FD"/>
        <bgColor/>
      </patternFill>
    </fill>
    <fill>
      <patternFill patternType="solid">
        <fgColor rgb="FFF0EDF6"/>
        <bgColor/>
      </patternFill>
    </fill>
    <fill>
      <patternFill patternType="solid">
        <fgColor rgb="FFFCEBDC"/>
        <bgColor/>
      </patternFill>
    </fill>
    <fill>
      <patternFill patternType="solid">
        <fgColor rgb="FFFAF1D1"/>
        <bgColor/>
      </patternFill>
    </fill>
    <fill>
      <patternFill patternType="solid">
        <fgColor rgb="FF1F4E78"/>
        <bgColor/>
      </patternFill>
    </fill>
    <fill>
      <patternFill patternType="solid">
        <fgColor rgb="FFF8F9FA"/>
        <bgColor/>
      </patternFill>
    </fill>
    <fill>
      <patternFill patternType="solid">
        <fgColor rgb="FFD9F5D6"/>
        <bgColor/>
      </patternFill>
    </fill>
    <fill>
      <patternFill patternType="solid">
        <fgColor rgb="FFFFFFFF"/>
        <bgColor/>
      </patternFill>
    </fill>
    <fill>
      <patternFill patternType="solid">
        <fgColor rgb="FFEAF2F8"/>
        <bgColor/>
      </patternFill>
    </fill>
    <fill>
      <patternFill patternType="solid">
        <fgColor rgb="FFFFF4CC"/>
        <bgColor/>
      </patternFill>
    </fill>
    <fill>
      <patternFill patternType="solid">
        <fgColor rgb="FFFED4A4"/>
        <bgColor/>
      </patternFill>
    </fill>
    <fill>
      <patternFill patternType="solid">
        <fgColor rgb="FFFDDDEF"/>
        <bgColor/>
      </patternFill>
    </fill>
    <fill>
      <patternFill patternType="solid">
        <fgColor rgb="FF1F4E78"/>
        <bgColor/>
      </patternFill>
    </fill>
    <fill>
      <patternFill patternType="solid">
        <fgColor rgb="FFFFF4CC"/>
        <bgColor/>
      </patternFill>
    </fill>
    <fill>
      <patternFill patternType="solid">
        <fgColor rgb="FFEAF2F8"/>
        <bgColor/>
      </patternFill>
    </fill>
    <fill>
      <patternFill patternType="solid">
        <fgColor rgb="FFE2F0D9"/>
        <bgColor/>
      </patternFill>
    </fill>
    <fill>
      <patternFill patternType="solid">
        <fgColor rgb="FFFFF4CC"/>
        <bgColor/>
      </patternFill>
    </fill>
    <fill>
      <patternFill patternType="solid">
        <fgColor rgb="FFF3F4F6"/>
        <bgColor/>
      </patternFill>
    </fill>
    <fill>
      <patternFill patternType="solid">
        <fgColor rgb="FF1F4E78"/>
        <bgColor/>
      </patternFill>
    </fill>
    <fill>
      <patternFill patternType="solid">
        <fgColor rgb="FFFFF4CC"/>
        <bgColor/>
      </patternFill>
    </fill>
    <fill>
      <patternFill patternType="solid">
        <fgColor rgb="FFEAF2F8"/>
        <bgColor/>
      </patternFill>
    </fill>
    <fill>
      <patternFill patternType="solid">
        <fgColor rgb="FFF3F4F6"/>
        <bgColor/>
      </patternFill>
    </fill>
    <fill>
      <patternFill patternType="solid">
        <fgColor rgb="FF1F4E78"/>
        <bgColor/>
      </patternFill>
    </fill>
    <fill>
      <patternFill patternType="solid">
        <fgColor rgb="FFFFF4CC"/>
        <bgColor/>
      </patternFill>
    </fill>
    <fill>
      <patternFill patternType="solid">
        <fgColor rgb="FFE2F0D9"/>
        <bgColor/>
      </patternFill>
    </fill>
    <fill>
      <patternFill patternType="solid">
        <fgColor rgb="FFFCE8E6"/>
        <bgColor/>
      </patternFill>
    </fill>
    <fill>
      <patternFill patternType="solid">
        <fgColor rgb="FF1F4E78"/>
        <bgColor/>
      </patternFill>
    </fill>
    <fill>
      <patternFill patternType="solid">
        <fgColor rgb="FFF3F4F6"/>
        <bgColor/>
      </patternFill>
    </fill>
    <fill>
      <patternFill patternType="solid">
        <fgColor rgb="FFFFF258"/>
        <bgColor/>
      </patternFill>
    </fill>
    <fill>
      <patternFill patternType="solid">
        <fgColor rgb="FF1F4E78"/>
        <bgColor/>
      </patternFill>
    </fill>
    <fill>
      <patternFill patternType="solid">
        <fgColor rgb="FFD9EAF7"/>
        <bgColor/>
      </patternFill>
    </fill>
    <fill>
      <patternFill patternType="solid">
        <fgColor rgb="FFEAF2F8"/>
        <bgColor/>
      </patternFill>
    </fill>
    <fill>
      <patternFill patternType="solid">
        <fgColor rgb="FFE2F0D9"/>
        <bgColor/>
      </patternFill>
    </fill>
    <fill>
      <patternFill patternType="solid">
        <fgColor rgb="FFFFF4CC"/>
        <bgColor/>
      </patternFill>
    </fill>
    <fill>
      <patternFill patternType="solid">
        <fgColor rgb="FF1F4E78"/>
        <bgColor/>
      </patternFill>
    </fill>
    <fill>
      <patternFill patternType="solid">
        <fgColor rgb="FF1F4E78"/>
        <bgColor/>
      </patternFill>
    </fill>
    <fill>
      <patternFill patternType="solid">
        <fgColor rgb="FFFFF2CC"/>
        <bgColor/>
      </patternFill>
    </fill>
    <fill>
      <patternFill patternType="solid">
        <fgColor rgb="FFEAF2F8"/>
        <bgColor/>
      </patternFill>
    </fill>
    <fill>
      <patternFill patternType="solid">
        <fgColor rgb="FF1F4E78"/>
        <bgColor/>
      </patternFill>
    </fill>
    <fill>
      <patternFill patternType="solid">
        <fgColor rgb="FF1F4E78"/>
        <bgColor/>
      </patternFill>
    </fill>
    <fill>
      <patternFill patternType="solid">
        <fgColor rgb="FFEAF2F8"/>
        <bgColor/>
      </patternFill>
    </fill>
    <fill>
      <patternFill patternType="solid">
        <fgColor rgb="FF404040"/>
        <bgColor/>
      </patternFill>
    </fill>
    <fill>
      <patternFill patternType="solid">
        <fgColor rgb="FFF0EDF6"/>
        <bgColor/>
      </patternFill>
    </fill>
    <fill>
      <patternFill patternType="solid">
        <fgColor rgb="FFFCEBDC"/>
        <bgColor/>
      </patternFill>
    </fill>
    <fill>
      <patternFill patternType="solid">
        <fgColor rgb="FFFFFFFF"/>
        <bgColor/>
      </patternFill>
    </fill>
    <fill>
      <patternFill patternType="solid">
        <fgColor rgb="FFFFF2CC"/>
        <bgColor/>
      </patternFill>
    </fill>
  </fills>
  <borders count="24">
    <border>
      <left/>
      <right/>
      <top/>
      <bottom/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E2E2E2"/>
      </left>
      <right style="thin">
        <color rgb="FFE2E2E2"/>
      </right>
      <top style="thin">
        <color rgb="FFE2E2E2"/>
      </top>
      <bottom style="thin">
        <color rgb="FFE2E2E2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E2E2E2"/>
      </left>
      <right style="thin">
        <color rgb="FFE2E2E2"/>
      </right>
      <top style="thin">
        <color rgb="FFE2E2E2"/>
      </top>
      <bottom style="thin">
        <color rgb="FFE2E2E2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3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true" applyProtection="false" borderId="1" fillId="2" fontId="1" numFmtId="164" xfId="0">
      <alignment horizontal="center" vertical="center" wrapText="true"/>
    </xf>
    <xf applyAlignment="true" applyBorder="false" applyFill="true" applyFont="true" applyNumberFormat="true" applyProtection="false" borderId="2" fillId="3" fontId="2" numFmtId="164" xfId="0">
      <alignment horizontal="center" vertical="center" wrapText="true"/>
    </xf>
    <xf applyAlignment="true" applyBorder="false" applyFill="true" applyFont="true" applyNumberFormat="true" applyProtection="false" borderId="2" fillId="3" fontId="2" numFmtId="164" xfId="0">
      <alignment horizontal="left" vertical="center" wrapText="true"/>
    </xf>
    <xf applyAlignment="true" applyBorder="false" applyFill="true" applyFont="true" applyNumberFormat="true" applyProtection="false" borderId="2" fillId="3" fontId="2" numFmtId="164" xfId="0">
      <alignment horizontal="center" vertical="center" wrapText="true"/>
    </xf>
    <xf applyAlignment="true" applyBorder="false" applyFill="true" applyFont="true" applyNumberFormat="true" applyProtection="false" borderId="2" fillId="4" fontId="3" numFmtId="164" xfId="0">
      <alignment horizontal="center" vertical="center" wrapText="true"/>
    </xf>
    <xf applyAlignment="true" applyBorder="false" applyFill="true" applyFont="true" applyNumberFormat="true" applyProtection="false" borderId="2" fillId="4" fontId="3" numFmtId="164" xfId="0">
      <alignment horizontal="left" vertical="center" wrapText="true"/>
    </xf>
    <xf applyAlignment="true" applyBorder="false" applyFill="true" applyFont="true" applyNumberFormat="true" applyProtection="false" borderId="2" fillId="4" fontId="2" numFmtId="164" xfId="0">
      <alignment horizontal="center" vertical="center" wrapText="true"/>
    </xf>
    <xf applyAlignment="true" applyBorder="false" applyFill="true" applyFont="true" applyNumberFormat="true" applyProtection="false" borderId="2" fillId="5" fontId="3" numFmtId="164" xfId="0">
      <alignment horizontal="center" vertical="center" wrapText="true"/>
    </xf>
    <xf applyAlignment="true" applyBorder="false" applyFill="true" applyFont="true" applyNumberFormat="true" applyProtection="false" borderId="2" fillId="5" fontId="3" numFmtId="164" xfId="0">
      <alignment horizontal="left" vertical="center" wrapText="true"/>
    </xf>
    <xf applyAlignment="true" applyBorder="false" applyFill="true" applyFont="true" applyNumberFormat="true" applyProtection="false" borderId="2" fillId="5" fontId="2" numFmtId="164" xfId="0">
      <alignment horizontal="center" vertical="center" wrapText="true"/>
    </xf>
    <xf applyAlignment="true" applyBorder="false" applyFill="false" applyFont="true" applyNumberFormat="true" applyProtection="false" borderId="2" fillId="0" fontId="3" numFmtId="164" xfId="0">
      <alignment horizontal="center" vertical="center" wrapText="true"/>
    </xf>
    <xf applyAlignment="true" applyBorder="false" applyFill="false" applyFont="true" applyNumberFormat="true" applyProtection="false" borderId="2" fillId="0" fontId="3" numFmtId="164" xfId="0">
      <alignment horizontal="left" vertical="center" wrapText="true"/>
    </xf>
    <xf applyAlignment="true" applyBorder="false" applyFill="false" applyFont="true" applyNumberFormat="true" applyProtection="false" borderId="2" fillId="0" fontId="2" numFmtId="164" xfId="0">
      <alignment horizontal="center" vertical="center" wrapText="true"/>
    </xf>
    <xf applyAlignment="true" applyBorder="false" applyFill="false" applyFont="true" applyNumberFormat="true" applyProtection="false" borderId="2" fillId="0" fontId="2" numFmtId="164" xfId="0">
      <alignment horizontal="center" vertical="center" wrapText="true"/>
    </xf>
    <xf applyAlignment="true" applyBorder="false" applyFill="false" applyFont="true" applyNumberFormat="true" applyProtection="false" borderId="2" fillId="0" fontId="3" numFmtId="164" xfId="0">
      <alignment horizontal="left" vertical="center" wrapText="true"/>
    </xf>
    <xf applyAlignment="true" applyBorder="false" applyFill="true" applyFont="true" applyNumberFormat="true" applyProtection="false" borderId="2" fillId="6" fontId="3" numFmtId="164" xfId="0">
      <alignment horizontal="center" vertical="center" wrapText="true"/>
    </xf>
    <xf applyAlignment="true" applyBorder="false" applyFill="true" applyFont="true" applyNumberFormat="true" applyProtection="false" borderId="2" fillId="6" fontId="3" numFmtId="164" xfId="0">
      <alignment horizontal="left" vertical="center" wrapText="true"/>
    </xf>
    <xf applyAlignment="true" applyBorder="false" applyFill="true" applyFont="true" applyNumberFormat="true" applyProtection="false" borderId="2" fillId="6" fontId="2" numFmtId="164" xfId="0">
      <alignment horizontal="center" vertical="center" wrapText="true"/>
    </xf>
    <xf applyAlignment="true" applyBorder="false" applyFill="true" applyFont="true" applyNumberFormat="false" applyProtection="false" borderId="3" fillId="7" fontId="4" numFmtId="0" xfId="0">
      <alignment horizontal="left" vertical="center" wrapText="true"/>
    </xf>
    <xf applyAlignment="true" applyBorder="false" applyFill="true" applyFont="true" applyNumberFormat="true" applyProtection="false" borderId="4" fillId="8" fontId="5" numFmtId="165" xfId="0">
      <alignment horizontal="left" vertical="center" wrapText="true"/>
    </xf>
    <xf applyAlignment="true" applyBorder="false" applyFill="true" applyFont="true" applyNumberFormat="true" applyProtection="false" borderId="4" fillId="9" fontId="6" numFmtId="165" xfId="0">
      <alignment horizontal="left" vertical="center" wrapText="true"/>
    </xf>
    <xf applyAlignment="true" applyBorder="false" applyFill="true" applyFont="true" applyNumberFormat="true" applyProtection="false" borderId="4" fillId="10" fontId="7" numFmtId="166" xfId="0">
      <alignment horizontal="center" vertical="center" wrapText="true"/>
    </xf>
    <xf applyAlignment="true" applyBorder="false" applyFill="true" applyFont="true" applyNumberFormat="true" applyProtection="false" borderId="4" fillId="11" fontId="3" numFmtId="166" xfId="0">
      <alignment horizontal="center" vertical="center" wrapText="true"/>
    </xf>
    <xf applyAlignment="true" applyBorder="false" applyFill="true" applyFont="true" applyNumberFormat="true" applyProtection="false" borderId="4" fillId="11" fontId="2" numFmtId="166" xfId="0">
      <alignment horizontal="center" vertical="center" wrapText="true"/>
    </xf>
    <xf applyAlignment="true" applyBorder="false" applyFill="true" applyFont="true" applyNumberFormat="true" applyProtection="false" borderId="4" fillId="11" fontId="2" numFmtId="167" xfId="0">
      <alignment horizontal="right" vertical="center" wrapText="true"/>
    </xf>
    <xf applyAlignment="true" applyBorder="false" applyFill="true" applyFont="true" applyNumberFormat="true" applyProtection="false" borderId="4" fillId="11" fontId="2" numFmtId="166" xfId="0">
      <alignment horizontal="right" vertical="center" wrapText="true"/>
    </xf>
    <xf applyAlignment="true" applyBorder="false" applyFill="true" applyFont="true" applyNumberFormat="true" applyProtection="false" borderId="4" fillId="11" fontId="2" numFmtId="168" xfId="0">
      <alignment horizontal="right" vertical="center" wrapText="true"/>
    </xf>
    <xf applyAlignment="true" applyBorder="false" applyFill="true" applyFont="true" applyNumberFormat="true" applyProtection="false" borderId="4" fillId="11" fontId="2" numFmtId="166" xfId="0">
      <alignment horizontal="left" vertical="center" wrapText="true"/>
    </xf>
    <xf applyAlignment="true" applyBorder="false" applyFill="true" applyFont="true" applyNumberFormat="true" applyProtection="false" borderId="4" fillId="12" fontId="3" numFmtId="166" xfId="0">
      <alignment horizontal="center" vertical="center" wrapText="true"/>
    </xf>
    <xf applyAlignment="true" applyBorder="false" applyFill="true" applyFont="true" applyNumberFormat="true" applyProtection="false" borderId="4" fillId="12" fontId="2" numFmtId="166" xfId="0">
      <alignment horizontal="center" vertical="center" wrapText="true"/>
    </xf>
    <xf applyAlignment="true" applyBorder="false" applyFill="true" applyFont="true" applyNumberFormat="true" applyProtection="false" borderId="4" fillId="12" fontId="2" numFmtId="167" xfId="0">
      <alignment horizontal="right" vertical="center" wrapText="true"/>
    </xf>
    <xf applyAlignment="true" applyBorder="false" applyFill="true" applyFont="true" applyNumberFormat="true" applyProtection="false" borderId="4" fillId="12" fontId="2" numFmtId="166" xfId="0">
      <alignment horizontal="right" vertical="center" wrapText="true"/>
    </xf>
    <xf applyAlignment="true" applyBorder="false" applyFill="true" applyFont="true" applyNumberFormat="true" applyProtection="false" borderId="4" fillId="12" fontId="2" numFmtId="167" xfId="0">
      <alignment horizontal="right" vertical="center" wrapText="true"/>
    </xf>
    <xf applyAlignment="true" applyBorder="false" applyFill="true" applyFont="true" applyNumberFormat="true" applyProtection="false" borderId="4" fillId="12" fontId="2" numFmtId="168" xfId="0">
      <alignment horizontal="right" vertical="center" wrapText="true"/>
    </xf>
    <xf applyAlignment="true" applyBorder="false" applyFill="true" applyFont="true" applyNumberFormat="true" applyProtection="false" borderId="4" fillId="12" fontId="2" numFmtId="166" xfId="0">
      <alignment horizontal="left" vertical="center" wrapText="true"/>
    </xf>
    <xf applyAlignment="true" applyBorder="false" applyFill="true" applyFont="true" applyNumberFormat="true" applyProtection="false" borderId="4" fillId="12" fontId="3" numFmtId="167" xfId="0">
      <alignment horizontal="right" vertical="center" wrapText="true"/>
    </xf>
    <xf applyAlignment="true" applyBorder="false" applyFill="true" applyFont="true" applyNumberFormat="true" applyProtection="false" borderId="4" fillId="12" fontId="3" numFmtId="166" xfId="0">
      <alignment horizontal="right" vertical="center" wrapText="true"/>
    </xf>
    <xf applyAlignment="true" applyBorder="false" applyFill="true" applyFont="true" applyNumberFormat="true" applyProtection="false" borderId="4" fillId="12" fontId="3" numFmtId="167" xfId="0">
      <alignment horizontal="right" vertical="center" wrapText="true"/>
    </xf>
    <xf applyAlignment="true" applyBorder="false" applyFill="true" applyFont="true" applyNumberFormat="true" applyProtection="false" borderId="4" fillId="12" fontId="3" numFmtId="168" xfId="0">
      <alignment horizontal="right" vertical="center" wrapText="true"/>
    </xf>
    <xf applyAlignment="true" applyBorder="false" applyFill="true" applyFont="true" applyNumberFormat="true" applyProtection="false" borderId="4" fillId="12" fontId="8" numFmtId="168" xfId="0">
      <alignment horizontal="right" vertical="center" wrapText="true"/>
    </xf>
    <xf applyAlignment="true" applyBorder="false" applyFill="true" applyFont="true" applyNumberFormat="true" applyProtection="false" borderId="4" fillId="12" fontId="3" numFmtId="166" xfId="0">
      <alignment horizontal="left" vertical="center" wrapText="true"/>
    </xf>
    <xf applyAlignment="true" applyBorder="false" applyFill="true" applyFont="true" applyNumberFormat="true" applyProtection="false" borderId="4" fillId="13" fontId="3" numFmtId="166" xfId="0">
      <alignment horizontal="center" vertical="center" wrapText="true"/>
    </xf>
    <xf applyAlignment="true" applyBorder="false" applyFill="true" applyFont="true" applyNumberFormat="true" applyProtection="false" borderId="4" fillId="13" fontId="2" numFmtId="166" xfId="0">
      <alignment horizontal="center" vertical="center" wrapText="true"/>
    </xf>
    <xf applyAlignment="true" applyBorder="false" applyFill="true" applyFont="true" applyNumberFormat="true" applyProtection="false" borderId="4" fillId="13" fontId="2" numFmtId="167" xfId="0">
      <alignment horizontal="right" vertical="center" wrapText="true"/>
    </xf>
    <xf applyAlignment="true" applyBorder="false" applyFill="true" applyFont="true" applyNumberFormat="true" applyProtection="false" borderId="4" fillId="13" fontId="2" numFmtId="166" xfId="0">
      <alignment horizontal="right" vertical="center" wrapText="true"/>
    </xf>
    <xf applyAlignment="true" applyBorder="false" applyFill="true" applyFont="true" applyNumberFormat="true" applyProtection="false" borderId="4" fillId="13" fontId="2" numFmtId="167" xfId="0">
      <alignment horizontal="right" vertical="center" wrapText="true"/>
    </xf>
    <xf applyAlignment="true" applyBorder="false" applyFill="true" applyFont="true" applyNumberFormat="true" applyProtection="false" borderId="4" fillId="13" fontId="2" numFmtId="168" xfId="0">
      <alignment horizontal="right" vertical="center" wrapText="true"/>
    </xf>
    <xf applyAlignment="true" applyBorder="false" applyFill="true" applyFont="true" applyNumberFormat="true" applyProtection="false" borderId="4" fillId="13" fontId="2" numFmtId="166" xfId="0">
      <alignment horizontal="left" vertical="center" wrapText="true"/>
    </xf>
    <xf applyAlignment="true" applyBorder="false" applyFill="true" applyFont="true" applyNumberFormat="true" applyProtection="false" borderId="4" fillId="14" fontId="3" numFmtId="166" xfId="0">
      <alignment horizontal="center" vertical="center" wrapText="true"/>
    </xf>
    <xf applyAlignment="true" applyBorder="false" applyFill="true" applyFont="true" applyNumberFormat="true" applyProtection="false" borderId="4" fillId="14" fontId="2" numFmtId="166" xfId="0">
      <alignment horizontal="center" vertical="center" wrapText="true"/>
    </xf>
    <xf applyAlignment="true" applyBorder="false" applyFill="true" applyFont="true" applyNumberFormat="true" applyProtection="false" borderId="4" fillId="14" fontId="2" numFmtId="167" xfId="0">
      <alignment horizontal="right" vertical="center" wrapText="true"/>
    </xf>
    <xf applyAlignment="true" applyBorder="false" applyFill="true" applyFont="true" applyNumberFormat="true" applyProtection="false" borderId="4" fillId="14" fontId="2" numFmtId="166" xfId="0">
      <alignment horizontal="right" vertical="center" wrapText="true"/>
    </xf>
    <xf applyAlignment="true" applyBorder="false" applyFill="true" applyFont="true" applyNumberFormat="true" applyProtection="false" borderId="4" fillId="14" fontId="2" numFmtId="167" xfId="0">
      <alignment horizontal="right" vertical="center" wrapText="true"/>
    </xf>
    <xf applyAlignment="true" applyBorder="false" applyFill="true" applyFont="true" applyNumberFormat="true" applyProtection="false" borderId="4" fillId="14" fontId="2" numFmtId="168" xfId="0">
      <alignment horizontal="right" vertical="center" wrapText="true"/>
    </xf>
    <xf applyAlignment="true" applyBorder="false" applyFill="true" applyFont="true" applyNumberFormat="true" applyProtection="false" borderId="4" fillId="14" fontId="2" numFmtId="166" xfId="0">
      <alignment horizontal="left" vertical="center" wrapText="true"/>
    </xf>
    <xf applyAlignment="true" applyBorder="false" applyFill="true" applyFont="true" applyNumberFormat="true" applyProtection="false" borderId="4" fillId="14" fontId="3" numFmtId="166" xfId="0">
      <alignment horizontal="center" vertical="center" wrapText="true"/>
    </xf>
    <xf applyAlignment="true" applyBorder="false" applyFill="true" applyFont="true" applyNumberFormat="true" applyProtection="false" borderId="4" fillId="14" fontId="3" numFmtId="167" xfId="0">
      <alignment horizontal="right" vertical="center" wrapText="true"/>
    </xf>
    <xf applyAlignment="true" applyBorder="false" applyFill="true" applyFont="true" applyNumberFormat="true" applyProtection="false" borderId="4" fillId="14" fontId="3" numFmtId="166" xfId="0">
      <alignment horizontal="right" vertical="center" wrapText="true"/>
    </xf>
    <xf applyAlignment="true" applyBorder="false" applyFill="true" applyFont="true" applyNumberFormat="true" applyProtection="false" borderId="4" fillId="14" fontId="3" numFmtId="167" xfId="0">
      <alignment horizontal="right" vertical="center" wrapText="true"/>
    </xf>
    <xf applyAlignment="true" applyBorder="false" applyFill="true" applyFont="true" applyNumberFormat="true" applyProtection="false" borderId="4" fillId="14" fontId="3" numFmtId="168" xfId="0">
      <alignment horizontal="right" vertical="center" wrapText="true"/>
    </xf>
    <xf applyAlignment="true" applyBorder="false" applyFill="true" applyFont="true" applyNumberFormat="true" applyProtection="false" borderId="4" fillId="14" fontId="3" numFmtId="168" xfId="0">
      <alignment horizontal="right" vertical="center" wrapText="true"/>
    </xf>
    <xf applyAlignment="true" applyBorder="false" applyFill="true" applyFont="true" applyNumberFormat="true" applyProtection="false" borderId="4" fillId="14" fontId="8" numFmtId="168" xfId="0">
      <alignment horizontal="right" vertical="center" wrapText="true"/>
    </xf>
    <xf applyAlignment="true" applyBorder="false" applyFill="true" applyFont="true" applyNumberFormat="true" applyProtection="false" borderId="4" fillId="9" fontId="8" numFmtId="168" xfId="0">
      <alignment horizontal="right" vertical="center" wrapText="true"/>
    </xf>
    <xf applyAlignment="true" applyBorder="false" applyFill="true" applyFont="true" applyNumberFormat="true" applyProtection="false" borderId="4" fillId="14" fontId="3" numFmtId="166" xfId="0">
      <alignment horizontal="left" vertical="center" wrapText="true"/>
    </xf>
    <xf applyAlignment="true" applyBorder="false" applyFill="true" applyFont="true" applyNumberFormat="false" applyProtection="false" borderId="0" fillId="15" fontId="3" numFmtId="0" xfId="0">
      <alignment vertical="center"/>
    </xf>
    <xf applyAlignment="true" applyBorder="false" applyFill="true" applyFont="true" applyNumberFormat="true" applyProtection="false" borderId="4" fillId="14" fontId="3" numFmtId="166" xfId="0">
      <alignment horizontal="right" vertical="center" wrapText="true"/>
    </xf>
    <xf applyAlignment="true" applyBorder="false" applyFill="true" applyFont="true" applyNumberFormat="true" applyProtection="false" borderId="4" fillId="15" fontId="3" numFmtId="166" xfId="0">
      <alignment horizontal="center" vertical="center" wrapText="true"/>
    </xf>
    <xf applyAlignment="true" applyBorder="false" applyFill="true" applyFont="true" applyNumberFormat="true" applyProtection="false" borderId="4" fillId="15" fontId="2" numFmtId="166" xfId="0">
      <alignment horizontal="center" vertical="center" wrapText="true"/>
    </xf>
    <xf applyAlignment="true" applyBorder="false" applyFill="true" applyFont="true" applyNumberFormat="true" applyProtection="false" borderId="4" fillId="15" fontId="2" numFmtId="167" xfId="0">
      <alignment horizontal="left" vertical="center" wrapText="true"/>
    </xf>
    <xf applyAlignment="true" applyBorder="false" applyFill="true" applyFont="true" applyNumberFormat="true" applyProtection="false" borderId="4" fillId="15" fontId="2" numFmtId="166" xfId="0">
      <alignment horizontal="right" vertical="center" wrapText="true"/>
    </xf>
    <xf applyAlignment="true" applyBorder="false" applyFill="true" applyFont="true" applyNumberFormat="true" applyProtection="false" borderId="4" fillId="15" fontId="2" numFmtId="167" xfId="0">
      <alignment horizontal="right" vertical="center" wrapText="true"/>
    </xf>
    <xf applyAlignment="true" applyBorder="false" applyFill="true" applyFont="true" applyNumberFormat="true" applyProtection="false" borderId="4" fillId="15" fontId="2" numFmtId="167" xfId="0">
      <alignment horizontal="right" vertical="center" wrapText="true"/>
    </xf>
    <xf applyAlignment="true" applyBorder="false" applyFill="true" applyFont="true" applyNumberFormat="true" applyProtection="false" borderId="4" fillId="15" fontId="3" numFmtId="168" xfId="0">
      <alignment horizontal="right" vertical="center" wrapText="true"/>
    </xf>
    <xf applyAlignment="true" applyBorder="false" applyFill="true" applyFont="true" applyNumberFormat="true" applyProtection="false" borderId="4" fillId="15" fontId="2" numFmtId="168" xfId="0">
      <alignment horizontal="right" vertical="center" wrapText="true"/>
    </xf>
    <xf applyAlignment="true" applyBorder="false" applyFill="true" applyFont="true" applyNumberFormat="true" applyProtection="false" borderId="4" fillId="15" fontId="2" numFmtId="166" xfId="0">
      <alignment horizontal="left" vertical="center" wrapText="true"/>
    </xf>
    <xf applyAlignment="true" applyBorder="false" applyFill="true" applyFont="true" applyNumberFormat="true" applyProtection="false" borderId="4" fillId="7" fontId="9" numFmtId="166" xfId="0">
      <alignment horizontal="left" vertical="center" wrapText="true"/>
    </xf>
    <xf applyAlignment="true" applyBorder="false" applyFill="true" applyFont="true" applyNumberFormat="true" applyProtection="false" borderId="4" fillId="10" fontId="1" numFmtId="166" xfId="0">
      <alignment horizontal="center" vertical="center" wrapText="true"/>
    </xf>
    <xf applyAlignment="true" applyBorder="false" applyFill="true" applyFont="true" applyNumberFormat="true" applyProtection="false" borderId="4" fillId="10" fontId="1" numFmtId="166" xfId="0">
      <alignment horizontal="center" vertical="center" wrapText="true"/>
    </xf>
    <xf applyAlignment="true" applyBorder="false" applyFill="true" applyFont="true" applyNumberFormat="true" applyProtection="false" borderId="4" fillId="15" fontId="3" numFmtId="166" xfId="0">
      <alignment horizontal="left" vertical="center" wrapText="true"/>
    </xf>
    <xf applyAlignment="true" applyBorder="false" applyFill="true" applyFont="true" applyNumberFormat="true" applyProtection="false" borderId="4" fillId="15" fontId="3" numFmtId="166" xfId="0">
      <alignment horizontal="center" vertical="center" wrapText="true"/>
    </xf>
    <xf applyAlignment="true" applyBorder="false" applyFill="true" applyFont="true" applyNumberFormat="true" applyProtection="false" borderId="4" fillId="15" fontId="3" numFmtId="166" xfId="0">
      <alignment horizontal="right" vertical="center" wrapText="true"/>
    </xf>
    <xf applyAlignment="true" applyBorder="false" applyFill="true" applyFont="true" applyNumberFormat="true" applyProtection="false" borderId="4" fillId="15" fontId="3" numFmtId="166" xfId="0">
      <alignment horizontal="right" vertical="center" wrapText="true"/>
    </xf>
    <xf applyAlignment="true" applyBorder="false" applyFill="true" applyFont="true" applyNumberFormat="true" applyProtection="false" borderId="4" fillId="16" fontId="3" numFmtId="166" xfId="0">
      <alignment horizontal="center" vertical="center" wrapText="true"/>
    </xf>
    <xf applyAlignment="true" applyBorder="false" applyFill="true" applyFont="true" applyNumberFormat="true" applyProtection="false" borderId="4" fillId="16" fontId="3" numFmtId="166" xfId="0">
      <alignment horizontal="center" vertical="center" wrapText="true"/>
    </xf>
    <xf applyAlignment="true" applyBorder="false" applyFill="true" applyFont="true" applyNumberFormat="true" applyProtection="false" borderId="4" fillId="16" fontId="3" numFmtId="166" xfId="0">
      <alignment horizontal="right" vertical="center" wrapText="true"/>
    </xf>
    <xf applyAlignment="true" applyBorder="false" applyFill="true" applyFont="true" applyNumberFormat="true" applyProtection="false" borderId="4" fillId="16" fontId="3" numFmtId="166" xfId="0">
      <alignment horizontal="right" vertical="center" wrapText="true"/>
    </xf>
    <xf applyAlignment="true" applyBorder="false" applyFill="true" applyFont="true" applyNumberFormat="true" applyProtection="false" borderId="4" fillId="16" fontId="3" numFmtId="166" xfId="0">
      <alignment horizontal="left" vertical="center" wrapText="true"/>
    </xf>
    <xf applyAlignment="true" applyBorder="false" applyFill="true" applyFont="true" applyNumberFormat="false" applyProtection="false" borderId="0" fillId="16" fontId="3" numFmtId="0" xfId="0">
      <alignment vertical="center"/>
    </xf>
    <xf applyAlignment="true" applyBorder="false" applyFill="true" applyFont="true" applyNumberFormat="true" applyProtection="false" borderId="4" fillId="16" fontId="2" numFmtId="166" xfId="0">
      <alignment horizontal="center" vertical="center" wrapText="true"/>
    </xf>
    <xf applyAlignment="true" applyBorder="false" applyFill="true" applyFont="true" applyNumberFormat="true" applyProtection="false" borderId="4" fillId="16" fontId="2" numFmtId="166" xfId="0">
      <alignment horizontal="right" vertical="center" wrapText="true"/>
    </xf>
    <xf applyAlignment="true" applyBorder="false" applyFill="true" applyFont="true" applyNumberFormat="true" applyProtection="false" borderId="4" fillId="16" fontId="2" numFmtId="166" xfId="0">
      <alignment horizontal="right" vertical="center" wrapText="true"/>
    </xf>
    <xf applyAlignment="true" applyBorder="false" applyFill="true" applyFont="true" applyNumberFormat="true" applyProtection="false" borderId="4" fillId="16" fontId="2" numFmtId="166" xfId="0">
      <alignment horizontal="left" vertical="center" wrapText="true"/>
    </xf>
    <xf applyAlignment="true" applyBorder="false" applyFill="true" applyFont="true" applyNumberFormat="true" applyProtection="false" borderId="4" fillId="17" fontId="10" numFmtId="166" xfId="0">
      <alignment horizontal="left" vertical="center" wrapText="true"/>
    </xf>
    <xf applyAlignment="true" applyBorder="false" applyFill="true" applyFont="true" applyNumberFormat="true" applyProtection="false" borderId="4" fillId="10" fontId="1" numFmtId="166" xfId="0">
      <alignment horizontal="center" vertical="center"/>
    </xf>
    <xf applyAlignment="true" applyBorder="false" applyFill="false" applyFont="true" applyNumberFormat="true" applyProtection="false" borderId="4" fillId="0" fontId="3" numFmtId="166" xfId="0">
      <alignment horizontal="left" vertical="center"/>
    </xf>
    <xf applyAlignment="true" applyBorder="false" applyFill="true" applyFont="true" applyNumberFormat="true" applyProtection="false" borderId="4" fillId="9" fontId="3" numFmtId="166" xfId="0">
      <alignment horizontal="right" vertical="center"/>
    </xf>
    <xf applyAlignment="true" applyBorder="false" applyFill="false" applyFont="true" applyNumberFormat="true" applyProtection="false" borderId="4" fillId="0" fontId="3" numFmtId="166" xfId="0">
      <alignment horizontal="center" vertical="center"/>
    </xf>
    <xf applyAlignment="true" applyBorder="false" applyFill="false" applyFont="true" applyNumberFormat="true" applyProtection="false" borderId="4" fillId="0" fontId="3" numFmtId="166" xfId="0">
      <alignment horizontal="left" vertical="center" wrapText="true"/>
    </xf>
    <xf applyAlignment="true" applyBorder="false" applyFill="true" applyFont="true" applyNumberFormat="true" applyProtection="false" borderId="4" fillId="18" fontId="2" numFmtId="166" xfId="0">
      <alignment horizontal="right" vertical="center"/>
    </xf>
    <xf applyAlignment="true" applyBorder="false" applyFill="false" applyFont="true" applyNumberFormat="true" applyProtection="false" borderId="0" fillId="0" fontId="3" numFmtId="166" xfId="0">
      <alignment vertical="center"/>
    </xf>
    <xf applyAlignment="true" applyBorder="false" applyFill="true" applyFont="true" applyNumberFormat="true" applyProtection="false" borderId="0" fillId="7" fontId="9" numFmtId="166" xfId="0">
      <alignment horizontal="left" vertical="center"/>
    </xf>
    <xf applyAlignment="true" applyBorder="false" applyFill="true" applyFont="true" applyNumberFormat="true" applyProtection="false" borderId="4" fillId="12" fontId="2" numFmtId="166" xfId="0">
      <alignment horizontal="center" vertical="center"/>
    </xf>
    <xf applyAlignment="true" applyBorder="false" applyFill="false" applyFont="true" applyNumberFormat="true" applyProtection="false" borderId="0" fillId="0" fontId="3" numFmtId="166" xfId="0">
      <alignment vertical="center" wrapText="true"/>
    </xf>
    <xf applyAlignment="true" applyBorder="false" applyFill="false" applyFont="true" applyNumberFormat="true" applyProtection="false" borderId="0" fillId="0" fontId="3" numFmtId="167" xfId="0">
      <alignment vertical="center" wrapText="true"/>
    </xf>
    <xf applyAlignment="true" applyBorder="false" applyFill="false" applyFont="true" applyNumberFormat="true" applyProtection="false" borderId="0" fillId="0" fontId="3" numFmtId="168" xfId="0">
      <alignment vertical="center" wrapText="true"/>
    </xf>
    <xf applyAlignment="true" applyBorder="false" applyFill="true" applyFont="true" applyNumberFormat="true" applyProtection="false" borderId="5" fillId="19" fontId="1" numFmtId="169" xfId="0">
      <alignment horizontal="center" vertical="center" wrapText="true"/>
    </xf>
    <xf applyAlignment="true" applyBorder="false" applyFill="true" applyFont="true" applyNumberFormat="true" applyProtection="false" borderId="6" fillId="20" fontId="3" numFmtId="169" xfId="0">
      <alignment horizontal="center" vertical="center" wrapText="true"/>
    </xf>
    <xf applyAlignment="true" applyBorder="false" applyFill="true" applyFont="true" applyNumberFormat="true" applyProtection="false" borderId="6" fillId="20" fontId="3" numFmtId="170" xfId="0">
      <alignment horizontal="center" vertical="center" wrapText="true"/>
    </xf>
    <xf applyAlignment="true" applyBorder="false" applyFill="true" applyFont="true" applyNumberFormat="true" applyProtection="false" borderId="6" fillId="20" fontId="3" numFmtId="170" xfId="0">
      <alignment horizontal="right" vertical="center" wrapText="true"/>
    </xf>
    <xf applyAlignment="true" applyBorder="false" applyFill="true" applyFont="true" applyNumberFormat="true" applyProtection="false" borderId="6" fillId="20" fontId="3" numFmtId="169" xfId="0">
      <alignment horizontal="right" vertical="center" wrapText="true"/>
    </xf>
    <xf applyAlignment="true" applyBorder="false" applyFill="true" applyFont="true" applyNumberFormat="true" applyProtection="false" borderId="6" fillId="20" fontId="3" numFmtId="169" xfId="0">
      <alignment horizontal="left" vertical="center" wrapText="true"/>
    </xf>
    <xf applyAlignment="true" applyBorder="false" applyFill="true" applyFont="true" applyNumberFormat="true" applyProtection="false" borderId="6" fillId="20" fontId="2" numFmtId="169" xfId="0">
      <alignment horizontal="center" vertical="center" wrapText="true"/>
    </xf>
    <xf applyAlignment="true" applyBorder="false" applyFill="true" applyFont="true" applyNumberFormat="true" applyProtection="false" borderId="6" fillId="20" fontId="2" numFmtId="170" xfId="0">
      <alignment horizontal="center" vertical="center" wrapText="true"/>
    </xf>
    <xf applyAlignment="true" applyBorder="false" applyFill="true" applyFont="true" applyNumberFormat="true" applyProtection="false" borderId="6" fillId="20" fontId="2" numFmtId="170" xfId="0">
      <alignment horizontal="right" vertical="center" wrapText="true"/>
    </xf>
    <xf applyAlignment="true" applyBorder="false" applyFill="true" applyFont="true" applyNumberFormat="true" applyProtection="false" borderId="6" fillId="20" fontId="2" numFmtId="169" xfId="0">
      <alignment horizontal="right" vertical="center" wrapText="true"/>
    </xf>
    <xf applyAlignment="true" applyBorder="false" applyFill="true" applyFont="true" applyNumberFormat="true" applyProtection="false" borderId="6" fillId="20" fontId="2" numFmtId="169" xfId="0">
      <alignment horizontal="left" vertical="center" wrapText="true"/>
    </xf>
    <xf applyAlignment="true" applyBorder="false" applyFill="true" applyFont="true" applyNumberFormat="true" applyProtection="false" borderId="6" fillId="21" fontId="3" numFmtId="169" xfId="0">
      <alignment horizontal="center" vertical="center" wrapText="true"/>
    </xf>
    <xf applyAlignment="true" applyBorder="false" applyFill="true" applyFont="true" applyNumberFormat="true" applyProtection="false" borderId="6" fillId="21" fontId="3" numFmtId="170" xfId="0">
      <alignment horizontal="center" vertical="center" wrapText="true"/>
    </xf>
    <xf applyAlignment="true" applyBorder="false" applyFill="true" applyFont="true" applyNumberFormat="true" applyProtection="false" borderId="6" fillId="21" fontId="3" numFmtId="170" xfId="0">
      <alignment horizontal="right" vertical="center" wrapText="true"/>
    </xf>
    <xf applyAlignment="true" applyBorder="false" applyFill="true" applyFont="true" applyNumberFormat="true" applyProtection="false" borderId="6" fillId="21" fontId="3" numFmtId="169" xfId="0">
      <alignment horizontal="right" vertical="center" wrapText="true"/>
    </xf>
    <xf applyAlignment="true" applyBorder="false" applyFill="true" applyFont="true" applyNumberFormat="true" applyProtection="false" borderId="6" fillId="21" fontId="3" numFmtId="169" xfId="0">
      <alignment horizontal="left" vertical="center" wrapText="true"/>
    </xf>
    <xf applyAlignment="true" applyBorder="false" applyFill="true" applyFont="true" applyNumberFormat="true" applyProtection="false" borderId="6" fillId="21" fontId="2" numFmtId="169" xfId="0">
      <alignment horizontal="center" vertical="center" wrapText="true"/>
    </xf>
    <xf applyAlignment="true" applyBorder="false" applyFill="true" applyFont="true" applyNumberFormat="true" applyProtection="false" borderId="6" fillId="21" fontId="2" numFmtId="170" xfId="0">
      <alignment horizontal="center" vertical="center" wrapText="true"/>
    </xf>
    <xf applyAlignment="true" applyBorder="false" applyFill="true" applyFont="true" applyNumberFormat="true" applyProtection="false" borderId="6" fillId="21" fontId="2" numFmtId="170" xfId="0">
      <alignment horizontal="right" vertical="center" wrapText="true"/>
    </xf>
    <xf applyAlignment="true" applyBorder="false" applyFill="true" applyFont="true" applyNumberFormat="true" applyProtection="false" borderId="6" fillId="21" fontId="2" numFmtId="169" xfId="0">
      <alignment horizontal="right" vertical="center" wrapText="true"/>
    </xf>
    <xf applyAlignment="true" applyBorder="false" applyFill="true" applyFont="true" applyNumberFormat="true" applyProtection="false" borderId="6" fillId="21" fontId="2" numFmtId="169" xfId="0">
      <alignment horizontal="left" vertical="center" wrapText="true"/>
    </xf>
    <xf applyAlignment="true" applyBorder="false" applyFill="false" applyFont="true" applyNumberFormat="true" applyProtection="false" borderId="6" fillId="0" fontId="3" numFmtId="169" xfId="0">
      <alignment vertical="center"/>
    </xf>
    <xf applyAlignment="true" applyBorder="false" applyFill="true" applyFont="true" applyNumberFormat="false" applyProtection="false" borderId="7" fillId="22" fontId="11" numFmtId="0" xfId="0">
      <alignment horizontal="left" vertical="center" wrapText="true"/>
    </xf>
    <xf applyAlignment="true" applyBorder="false" applyFill="true" applyFont="true" applyNumberFormat="false" applyProtection="false" borderId="7" fillId="22" fontId="11" numFmtId="0" xfId="0">
      <alignment vertical="center" wrapText="true"/>
    </xf>
    <xf applyAlignment="true" applyBorder="false" applyFill="true" applyFont="true" applyNumberFormat="false" applyProtection="false" borderId="7" fillId="23" fontId="7" numFmtId="0" xfId="0">
      <alignment horizontal="left" vertical="center" wrapText="true"/>
    </xf>
    <xf applyAlignment="true" applyBorder="false" applyFill="true" applyFont="true" applyNumberFormat="false" applyProtection="false" borderId="7" fillId="23" fontId="7" numFmtId="0" xfId="0">
      <alignment horizontal="center" vertical="center" wrapText="true"/>
    </xf>
    <xf applyAlignment="true" applyBorder="false" applyFill="true" applyFont="true" applyNumberFormat="false" applyProtection="false" borderId="7" fillId="23" fontId="1" numFmtId="0" xfId="0">
      <alignment vertical="center"/>
    </xf>
    <xf applyAlignment="true" applyBorder="false" applyFill="true" applyFont="true" applyNumberFormat="false" applyProtection="false" borderId="7" fillId="24" fontId="12" numFmtId="0" xfId="0">
      <alignment horizontal="left" vertical="center" wrapText="true"/>
    </xf>
    <xf applyAlignment="true" applyBorder="false" applyFill="true" applyFont="true" applyNumberFormat="false" applyProtection="false" borderId="7" fillId="25" fontId="12" numFmtId="0" xfId="0">
      <alignment horizontal="left" vertical="center" wrapText="true"/>
    </xf>
    <xf applyAlignment="true" applyBorder="false" applyFill="true" applyFont="true" applyNumberFormat="true" applyProtection="false" borderId="7" fillId="25" fontId="13" numFmtId="171" xfId="0">
      <alignment horizontal="right" vertical="center" wrapText="true"/>
    </xf>
    <xf applyAlignment="true" applyBorder="false" applyFill="true" applyFont="true" applyNumberFormat="true" applyProtection="false" borderId="7" fillId="25" fontId="12" numFmtId="172" xfId="0">
      <alignment horizontal="right" vertical="center" wrapText="true"/>
    </xf>
    <xf applyAlignment="true" applyBorder="false" applyFill="true" applyFont="true" applyNumberFormat="true" applyProtection="false" borderId="7" fillId="25" fontId="13" numFmtId="173" xfId="0">
      <alignment horizontal="right" vertical="center" wrapText="true"/>
    </xf>
    <xf applyAlignment="true" applyBorder="false" applyFill="true" applyFont="true" applyNumberFormat="true" applyProtection="false" borderId="7" fillId="25" fontId="12" numFmtId="174" xfId="0">
      <alignment horizontal="right" vertical="center" wrapText="true"/>
    </xf>
    <xf applyAlignment="true" applyBorder="false" applyFill="true" applyFont="true" applyNumberFormat="true" applyProtection="false" borderId="7" fillId="25" fontId="12" numFmtId="175" xfId="0">
      <alignment horizontal="right" vertical="center" wrapText="true"/>
    </xf>
    <xf applyAlignment="true" applyBorder="false" applyFill="true" applyFont="true" applyNumberFormat="true" applyProtection="false" borderId="7" fillId="25" fontId="12" numFmtId="176" xfId="0">
      <alignment horizontal="right" vertical="center" wrapText="true"/>
    </xf>
    <xf applyAlignment="true" applyBorder="false" applyFill="true" applyFont="true" applyNumberFormat="true" applyProtection="false" borderId="7" fillId="25" fontId="12" numFmtId="177" xfId="0">
      <alignment horizontal="right" vertical="center" wrapText="true"/>
    </xf>
    <xf applyAlignment="true" applyBorder="false" applyFill="true" applyFont="true" applyNumberFormat="false" applyProtection="false" borderId="7" fillId="24" fontId="12" numFmtId="0" xfId="0">
      <alignment horizontal="left" vertical="center" wrapText="true"/>
    </xf>
    <xf applyAlignment="true" applyBorder="false" applyFill="true" applyFont="true" applyNumberFormat="false" applyProtection="false" borderId="7" fillId="26" fontId="12" numFmtId="0" xfId="0">
      <alignment horizontal="left" vertical="center" wrapText="true"/>
    </xf>
    <xf applyAlignment="true" applyBorder="false" applyFill="true" applyFont="true" applyNumberFormat="true" applyProtection="false" borderId="7" fillId="26" fontId="13" numFmtId="171" xfId="0">
      <alignment horizontal="right" vertical="center" wrapText="true"/>
    </xf>
    <xf applyAlignment="true" applyBorder="false" applyFill="true" applyFont="true" applyNumberFormat="true" applyProtection="false" borderId="7" fillId="26" fontId="12" numFmtId="172" xfId="0">
      <alignment horizontal="right" vertical="center" wrapText="true"/>
    </xf>
    <xf applyAlignment="true" applyBorder="false" applyFill="true" applyFont="true" applyNumberFormat="true" applyProtection="false" borderId="7" fillId="26" fontId="13" numFmtId="173" xfId="0">
      <alignment horizontal="right" vertical="center" wrapText="true"/>
    </xf>
    <xf applyAlignment="true" applyBorder="false" applyFill="true" applyFont="true" applyNumberFormat="true" applyProtection="false" borderId="7" fillId="26" fontId="12" numFmtId="174" xfId="0">
      <alignment horizontal="right" vertical="center" wrapText="true"/>
    </xf>
    <xf applyAlignment="true" applyBorder="false" applyFill="true" applyFont="true" applyNumberFormat="true" applyProtection="false" borderId="7" fillId="26" fontId="12" numFmtId="175" xfId="0">
      <alignment horizontal="right" vertical="center" wrapText="true"/>
    </xf>
    <xf applyAlignment="true" applyBorder="false" applyFill="true" applyFont="true" applyNumberFormat="true" applyProtection="false" borderId="7" fillId="26" fontId="12" numFmtId="177" xfId="0">
      <alignment horizontal="right" vertical="center" wrapText="true"/>
    </xf>
    <xf applyAlignment="true" applyBorder="false" applyFill="true" applyFont="true" applyNumberFormat="false" applyProtection="false" borderId="7" fillId="22" fontId="12" numFmtId="0" xfId="0">
      <alignment horizontal="left" vertical="center" wrapText="true"/>
    </xf>
    <xf applyAlignment="true" applyBorder="false" applyFill="true" applyFont="true" applyNumberFormat="true" applyProtection="false" borderId="7" fillId="22" fontId="13" numFmtId="171" xfId="0">
      <alignment horizontal="right" vertical="center" wrapText="true"/>
    </xf>
    <xf applyAlignment="true" applyBorder="false" applyFill="true" applyFont="true" applyNumberFormat="true" applyProtection="false" borderId="7" fillId="22" fontId="12" numFmtId="172" xfId="0">
      <alignment horizontal="right" vertical="center" wrapText="true"/>
    </xf>
    <xf applyAlignment="true" applyBorder="false" applyFill="true" applyFont="true" applyNumberFormat="true" applyProtection="false" borderId="7" fillId="22" fontId="13" numFmtId="173" xfId="0">
      <alignment horizontal="right" vertical="center" wrapText="true"/>
    </xf>
    <xf applyAlignment="true" applyBorder="false" applyFill="true" applyFont="true" applyNumberFormat="true" applyProtection="false" borderId="7" fillId="22" fontId="12" numFmtId="174" xfId="0">
      <alignment horizontal="right" vertical="center" wrapText="true"/>
    </xf>
    <xf applyAlignment="true" applyBorder="false" applyFill="true" applyFont="true" applyNumberFormat="true" applyProtection="false" borderId="7" fillId="22" fontId="12" numFmtId="175" xfId="0">
      <alignment horizontal="right" vertical="center" wrapText="true"/>
    </xf>
    <xf applyAlignment="true" applyBorder="false" applyFill="true" applyFont="true" applyNumberFormat="true" applyProtection="false" borderId="7" fillId="22" fontId="12" numFmtId="177" xfId="0">
      <alignment horizontal="right" vertical="center" wrapText="true"/>
    </xf>
    <xf applyAlignment="true" applyBorder="false" applyFill="true" applyFont="true" applyNumberFormat="true" applyProtection="false" borderId="7" fillId="27" fontId="12" numFmtId="178" xfId="0">
      <alignment horizontal="left" vertical="center" wrapText="true"/>
    </xf>
    <xf applyAlignment="true" applyBorder="false" applyFill="true" applyFont="true" applyNumberFormat="true" applyProtection="false" borderId="7" fillId="25" fontId="13" numFmtId="171" xfId="0">
      <alignment horizontal="right" vertical="center"/>
    </xf>
    <xf applyAlignment="true" applyBorder="false" applyFill="true" applyFont="true" applyNumberFormat="true" applyProtection="false" borderId="7" fillId="25" fontId="13" numFmtId="171" xfId="0">
      <alignment horizontal="right" vertical="center"/>
    </xf>
    <xf applyAlignment="true" applyBorder="false" applyFill="true" applyFont="true" applyNumberFormat="false" applyProtection="false" borderId="7" fillId="25" fontId="12" numFmtId="0" xfId="0">
      <alignment vertical="center"/>
    </xf>
    <xf applyAlignment="true" applyBorder="false" applyFill="true" applyFont="true" applyNumberFormat="true" applyProtection="false" borderId="7" fillId="25" fontId="13" numFmtId="173" xfId="0">
      <alignment horizontal="right" vertical="center"/>
    </xf>
    <xf applyAlignment="true" applyBorder="false" applyFill="true" applyFont="true" applyNumberFormat="true" applyProtection="false" borderId="7" fillId="25" fontId="12" numFmtId="171" xfId="0">
      <alignment horizontal="right" vertical="center"/>
    </xf>
    <xf applyAlignment="true" applyBorder="false" applyFill="true" applyFont="true" applyNumberFormat="true" applyProtection="false" borderId="7" fillId="26" fontId="13" numFmtId="171" xfId="0">
      <alignment horizontal="right" vertical="center"/>
    </xf>
    <xf applyAlignment="true" applyBorder="false" applyFill="true" applyFont="true" applyNumberFormat="true" applyProtection="false" borderId="7" fillId="26" fontId="13" numFmtId="171" xfId="0">
      <alignment horizontal="right" vertical="center"/>
    </xf>
    <xf applyAlignment="true" applyBorder="false" applyFill="true" applyFont="true" applyNumberFormat="false" applyProtection="false" borderId="7" fillId="26" fontId="12" numFmtId="0" xfId="0">
      <alignment vertical="center"/>
    </xf>
    <xf applyAlignment="true" applyBorder="false" applyFill="true" applyFont="true" applyNumberFormat="true" applyProtection="false" borderId="7" fillId="26" fontId="13" numFmtId="173" xfId="0">
      <alignment horizontal="right" vertical="center"/>
    </xf>
    <xf applyAlignment="true" applyBorder="false" applyFill="true" applyFont="true" applyNumberFormat="true" applyProtection="false" borderId="7" fillId="26" fontId="12" numFmtId="171" xfId="0">
      <alignment horizontal="right" vertical="center"/>
    </xf>
    <xf applyAlignment="true" applyBorder="false" applyFill="true" applyFont="true" applyNumberFormat="true" applyProtection="false" borderId="7" fillId="27" fontId="12" numFmtId="178" xfId="0">
      <alignment horizontal="left" vertical="center" wrapText="true"/>
    </xf>
    <xf applyAlignment="true" applyBorder="false" applyFill="true" applyFont="true" applyNumberFormat="true" applyProtection="false" borderId="7" fillId="22" fontId="13" numFmtId="171" xfId="0">
      <alignment horizontal="right" vertical="center"/>
    </xf>
    <xf applyAlignment="true" applyBorder="false" applyFill="true" applyFont="true" applyNumberFormat="true" applyProtection="false" borderId="7" fillId="22" fontId="13" numFmtId="171" xfId="0">
      <alignment horizontal="right" vertical="center"/>
    </xf>
    <xf applyAlignment="true" applyBorder="false" applyFill="true" applyFont="true" applyNumberFormat="false" applyProtection="false" borderId="7" fillId="22" fontId="12" numFmtId="0" xfId="0">
      <alignment vertical="center"/>
    </xf>
    <xf applyAlignment="true" applyBorder="false" applyFill="true" applyFont="true" applyNumberFormat="true" applyProtection="false" borderId="7" fillId="22" fontId="13" numFmtId="173" xfId="0">
      <alignment horizontal="right" vertical="center"/>
    </xf>
    <xf applyAlignment="true" applyBorder="false" applyFill="true" applyFont="true" applyNumberFormat="true" applyProtection="false" borderId="7" fillId="22" fontId="12" numFmtId="171" xfId="0">
      <alignment horizontal="right" vertical="center"/>
    </xf>
    <xf applyAlignment="true" applyBorder="false" applyFill="true" applyFont="true" applyNumberFormat="false" applyProtection="false" borderId="7" fillId="27" fontId="12" numFmtId="0" xfId="0">
      <alignment horizontal="left" vertical="center"/>
    </xf>
    <xf applyAlignment="true" applyBorder="false" applyFill="true" applyFont="true" applyNumberFormat="false" applyProtection="false" borderId="7" fillId="22" fontId="12" numFmtId="0" xfId="0">
      <alignment horizontal="left" vertical="center"/>
    </xf>
    <xf applyAlignment="true" applyBorder="false" applyFill="true" applyFont="true" applyNumberFormat="false" applyProtection="false" borderId="7" fillId="25" fontId="12" numFmtId="0" xfId="0">
      <alignment horizontal="left" vertical="center"/>
    </xf>
    <xf applyAlignment="true" applyBorder="false" applyFill="true" applyFont="true" applyNumberFormat="false" applyProtection="false" borderId="7" fillId="26" fontId="12" numFmtId="0" xfId="0">
      <alignment horizontal="left" vertical="center"/>
    </xf>
    <xf applyAlignment="true" applyBorder="false" applyFill="false" applyFont="true" applyNumberFormat="false" applyProtection="false" borderId="0" fillId="0" fontId="3" numFmtId="0" xfId="0">
      <alignment horizontal="left" vertical="center"/>
    </xf>
    <xf applyAlignment="true" applyBorder="false" applyFill="true" applyFont="true" applyNumberFormat="false" applyProtection="false" borderId="8" fillId="28" fontId="14" numFmtId="0" xfId="0">
      <alignment horizontal="center" vertical="center" wrapText="true"/>
    </xf>
    <xf applyAlignment="true" applyBorder="false" applyFill="false" applyFont="true" applyNumberFormat="false" applyProtection="false" borderId="0" fillId="0" fontId="15" numFmtId="0" xfId="0">
      <alignment horizontal="center" vertical="center"/>
    </xf>
    <xf applyAlignment="true" applyBorder="false" applyFill="false" applyFont="true" applyNumberFormat="false" applyProtection="false" borderId="0" fillId="0" fontId="15" numFmtId="0" xfId="0">
      <alignment vertical="center"/>
    </xf>
    <xf applyAlignment="true" applyBorder="false" applyFill="false" applyFont="true" applyNumberFormat="false" applyProtection="false" borderId="0" fillId="0" fontId="15" numFmtId="0" xfId="0">
      <alignment vertical="center"/>
    </xf>
    <xf applyAlignment="true" applyBorder="false" applyFill="false" applyFont="true" applyNumberFormat="false" applyProtection="false" borderId="0" fillId="0" fontId="15" numFmtId="0" xfId="0">
      <alignment horizontal="left" vertical="center"/>
    </xf>
    <xf applyAlignment="true" applyBorder="false" applyFill="true" applyFont="true" applyNumberFormat="false" applyProtection="false" borderId="0" fillId="29" fontId="15" numFmtId="0" xfId="0">
      <alignment horizontal="left" vertical="center"/>
    </xf>
    <xf applyAlignment="true" applyBorder="false" applyFill="false" applyFont="true" applyNumberFormat="false" applyProtection="false" borderId="0" fillId="0" fontId="15" numFmtId="0" xfId="0">
      <alignment vertical="center"/>
    </xf>
    <xf applyAlignment="true" applyBorder="false" applyFill="true" applyFont="true" applyNumberFormat="true" applyProtection="false" borderId="8" fillId="30" fontId="16" numFmtId="179" xfId="0">
      <alignment horizontal="center" vertical="center" wrapText="true"/>
    </xf>
    <xf applyAlignment="true" applyBorder="false" applyFill="false" applyFont="true" applyNumberFormat="false" applyProtection="false" borderId="0" fillId="0" fontId="16" numFmtId="0" xfId="0">
      <alignment horizontal="center" vertical="center"/>
    </xf>
    <xf applyAlignment="true" applyBorder="false" applyFill="false" applyFont="true" applyNumberFormat="false" applyProtection="false" borderId="0" fillId="0" fontId="16" numFmtId="0" xfId="0">
      <alignment vertical="center"/>
    </xf>
    <xf applyAlignment="true" applyBorder="false" applyFill="false" applyFont="true" applyNumberFormat="false" applyProtection="false" borderId="0" fillId="0" fontId="16" numFmtId="0" xfId="0">
      <alignment vertical="center"/>
    </xf>
    <xf applyAlignment="true" applyBorder="false" applyFill="false" applyFont="true" applyNumberFormat="false" applyProtection="false" borderId="0" fillId="0" fontId="16" numFmtId="0" xfId="0">
      <alignment horizontal="left" vertical="center"/>
    </xf>
    <xf applyAlignment="true" applyBorder="false" applyFill="true" applyFont="true" applyNumberFormat="false" applyProtection="false" borderId="0" fillId="31" fontId="16" numFmtId="0" xfId="0">
      <alignment horizontal="left" vertical="center"/>
    </xf>
    <xf applyAlignment="true" applyBorder="false" applyFill="true" applyFont="true" applyNumberFormat="false" applyProtection="false" borderId="0" fillId="29" fontId="16" numFmtId="0" xfId="0">
      <alignment horizontal="left" vertical="center"/>
    </xf>
    <xf applyAlignment="true" applyBorder="false" applyFill="false" applyFont="true" applyNumberFormat="false" applyProtection="false" borderId="0" fillId="0" fontId="16" numFmtId="0" xfId="0">
      <alignment horizontal="left" vertical="center"/>
    </xf>
    <xf applyAlignment="true" applyBorder="false" applyFill="false" applyFont="true" applyNumberFormat="false" applyProtection="false" borderId="0" fillId="0" fontId="16" numFmtId="0" xfId="0">
      <alignment vertical="center"/>
    </xf>
    <xf applyAlignment="true" applyBorder="false" applyFill="true" applyFont="true" applyNumberFormat="true" applyProtection="false" borderId="8" fillId="32" fontId="16" numFmtId="179" xfId="0">
      <alignment horizontal="center" vertical="center" wrapText="true"/>
    </xf>
    <xf applyAlignment="true" applyBorder="false" applyFill="false" applyFont="true" applyNumberFormat="false" applyProtection="false" borderId="0" fillId="0" fontId="17" numFmtId="0" xfId="0">
      <alignment vertical="center"/>
    </xf>
    <xf applyAlignment="true" applyBorder="false" applyFill="false" applyFont="true" applyNumberFormat="false" applyProtection="false" borderId="0" fillId="0" fontId="16" numFmtId="0" xfId="0">
      <alignment horizontal="left" vertical="center"/>
    </xf>
    <xf applyAlignment="true" applyBorder="false" applyFill="true" applyFont="true" applyNumberFormat="true" applyProtection="false" borderId="8" fillId="33" fontId="16" numFmtId="179" xfId="0">
      <alignment horizontal="center" vertical="center" wrapText="true"/>
    </xf>
    <xf applyAlignment="true" applyBorder="false" applyFill="true" applyFont="true" applyNumberFormat="false" applyProtection="false" borderId="0" fillId="34" fontId="16" numFmtId="0" xfId="0">
      <alignment horizontal="center" vertical="center"/>
    </xf>
    <xf applyAlignment="true" applyBorder="false" applyFill="false" applyFont="true" applyNumberFormat="false" applyProtection="false" borderId="0" fillId="0" fontId="16" numFmtId="0" xfId="0">
      <alignment vertical="center"/>
    </xf>
    <xf applyAlignment="true" applyBorder="false" applyFill="true" applyFont="true" applyNumberFormat="false" applyProtection="false" borderId="0" fillId="31" fontId="16" numFmtId="0" xfId="0">
      <alignment horizontal="left" vertical="center"/>
    </xf>
    <xf applyAlignment="true" applyBorder="false" applyFill="true" applyFont="true" applyNumberFormat="false" applyProtection="false" borderId="0" fillId="29" fontId="16" numFmtId="0" xfId="0">
      <alignment horizontal="left" vertical="center"/>
    </xf>
    <xf applyAlignment="true" applyBorder="false" applyFill="true" applyFont="true" applyNumberFormat="false" applyProtection="false" borderId="0" fillId="35" fontId="16" numFmtId="0" xfId="0">
      <alignment horizontal="center" vertical="center"/>
    </xf>
    <xf applyAlignment="true" applyBorder="false" applyFill="true" applyFont="true" applyNumberFormat="false" applyProtection="false" borderId="0" fillId="29" fontId="16" numFmtId="0" xfId="0">
      <alignment horizontal="center" vertical="center"/>
    </xf>
    <xf applyAlignment="true" applyBorder="false" applyFill="false" applyFont="true" applyNumberFormat="false" applyProtection="false" borderId="0" fillId="0" fontId="16" numFmtId="0" xfId="0">
      <alignment horizontal="center" vertical="center"/>
    </xf>
    <xf applyAlignment="true" applyBorder="false" applyFill="true" applyFont="true" applyNumberFormat="true" applyProtection="false" borderId="9" fillId="36" fontId="1" numFmtId="180" xfId="0">
      <alignment horizontal="center" vertical="center" wrapText="true"/>
    </xf>
    <xf applyAlignment="true" applyBorder="false" applyFill="false" applyFont="true" applyNumberFormat="true" applyProtection="false" borderId="10" fillId="0" fontId="3" numFmtId="180" xfId="0">
      <alignment horizontal="right" vertical="center" wrapText="true"/>
    </xf>
    <xf applyAlignment="true" applyBorder="false" applyFill="true" applyFont="true" applyNumberFormat="true" applyProtection="false" borderId="10" fillId="37" fontId="3" numFmtId="180" xfId="0">
      <alignment horizontal="right" vertical="center" wrapText="true"/>
    </xf>
    <xf applyAlignment="true" applyBorder="false" applyFill="true" applyFont="true" applyNumberFormat="true" applyProtection="false" borderId="10" fillId="37" fontId="3" numFmtId="180" xfId="0">
      <alignment horizontal="right" vertical="center" wrapText="true"/>
    </xf>
    <xf applyAlignment="true" applyBorder="false" applyFill="true" applyFont="true" applyNumberFormat="true" applyProtection="false" borderId="10" fillId="38" fontId="3" numFmtId="180" xfId="0">
      <alignment horizontal="right" vertical="center" wrapText="true"/>
    </xf>
    <xf applyAlignment="true" applyBorder="false" applyFill="true" applyFont="true" applyNumberFormat="true" applyProtection="false" borderId="10" fillId="39" fontId="2" numFmtId="180" xfId="0">
      <alignment horizontal="right" vertical="center" wrapText="true"/>
    </xf>
    <xf applyAlignment="true" applyBorder="false" applyFill="false" applyFont="true" applyNumberFormat="true" applyProtection="false" borderId="10" fillId="0" fontId="3" numFmtId="180" xfId="0">
      <alignment horizontal="left" vertical="center" wrapText="true"/>
    </xf>
    <xf applyAlignment="true" applyBorder="false" applyFill="true" applyFont="true" applyNumberFormat="true" applyProtection="false" borderId="10" fillId="38" fontId="3" numFmtId="180" xfId="0">
      <alignment horizontal="center" vertical="center" wrapText="true"/>
    </xf>
    <xf applyAlignment="true" applyBorder="false" applyFill="true" applyFont="true" applyNumberFormat="true" applyProtection="false" borderId="10" fillId="37" fontId="3" numFmtId="180" xfId="0">
      <alignment horizontal="center" vertical="center" wrapText="true"/>
    </xf>
    <xf applyAlignment="true" applyBorder="false" applyFill="true" applyFont="true" applyNumberFormat="true" applyProtection="false" borderId="11" fillId="40" fontId="18" numFmtId="180" xfId="0">
      <alignment horizontal="right" vertical="center" wrapText="true"/>
    </xf>
    <xf applyAlignment="true" applyBorder="false" applyFill="true" applyFont="true" applyNumberFormat="true" applyProtection="false" borderId="10" fillId="41" fontId="3" numFmtId="180" xfId="0">
      <alignment horizontal="left" vertical="center" wrapText="true"/>
    </xf>
    <xf applyAlignment="true" applyBorder="false" applyFill="true" applyFont="true" applyNumberFormat="true" applyProtection="false" borderId="10" fillId="38" fontId="3" numFmtId="180" xfId="0">
      <alignment horizontal="right" vertical="center" wrapText="true"/>
    </xf>
    <xf applyAlignment="true" applyBorder="false" applyFill="false" applyFont="true" applyNumberFormat="true" applyProtection="false" borderId="10" fillId="0" fontId="3" numFmtId="180" xfId="0">
      <alignment horizontal="right" vertical="center" wrapText="true"/>
    </xf>
    <xf applyAlignment="true" applyBorder="false" applyFill="false" applyFont="true" applyNumberFormat="true" applyProtection="false" borderId="10" fillId="0" fontId="3" numFmtId="180" xfId="0">
      <alignment vertical="center"/>
    </xf>
    <xf applyAlignment="true" applyBorder="false" applyFill="true" applyFont="true" applyNumberFormat="false" applyProtection="false" borderId="12" fillId="42" fontId="1" numFmtId="0" xfId="0">
      <alignment horizontal="center" vertical="center" wrapText="true"/>
    </xf>
    <xf applyAlignment="true" applyBorder="false" applyFill="true" applyFont="true" applyNumberFormat="true" applyProtection="false" borderId="13" fillId="43" fontId="2" numFmtId="181" xfId="0">
      <alignment horizontal="center" vertical="center" wrapText="true"/>
    </xf>
    <xf applyAlignment="true" applyBorder="false" applyFill="true" applyFont="true" applyNumberFormat="true" applyProtection="false" borderId="13" fillId="43" fontId="2" numFmtId="181" xfId="0">
      <alignment horizontal="left" vertical="center" wrapText="true"/>
    </xf>
    <xf applyAlignment="true" applyBorder="false" applyFill="true" applyFont="true" applyNumberFormat="true" applyProtection="false" borderId="13" fillId="44" fontId="3" numFmtId="181" xfId="0">
      <alignment horizontal="center" vertical="center" wrapText="true"/>
    </xf>
    <xf applyAlignment="true" applyBorder="false" applyFill="true" applyFont="true" applyNumberFormat="true" applyProtection="false" borderId="13" fillId="44" fontId="3" numFmtId="181" xfId="0">
      <alignment horizontal="left" vertical="center" wrapText="true"/>
    </xf>
    <xf applyAlignment="true" applyBorder="false" applyFill="true" applyFont="true" applyNumberFormat="true" applyProtection="false" borderId="13" fillId="44" fontId="3" numFmtId="182" xfId="0">
      <alignment horizontal="left" vertical="center" wrapText="true"/>
    </xf>
    <xf applyAlignment="true" applyBorder="false" applyFill="true" applyFont="true" applyNumberFormat="true" applyProtection="false" borderId="13" fillId="45" fontId="3" numFmtId="181" xfId="0">
      <alignment horizontal="center" vertical="center" wrapText="true"/>
    </xf>
    <xf applyAlignment="true" applyBorder="false" applyFill="true" applyFont="true" applyNumberFormat="true" applyProtection="false" borderId="13" fillId="45" fontId="3" numFmtId="181" xfId="0">
      <alignment horizontal="left" vertical="center" wrapText="true"/>
    </xf>
    <xf applyAlignment="true" applyBorder="false" applyFill="true" applyFont="true" applyNumberFormat="true" applyProtection="false" borderId="13" fillId="45" fontId="3" numFmtId="183" xfId="0">
      <alignment horizontal="left" vertical="center" wrapText="true"/>
    </xf>
    <xf applyAlignment="true" applyBorder="false" applyFill="true" applyFont="true" applyNumberFormat="true" applyProtection="false" borderId="14" fillId="46" fontId="1" numFmtId="184" xfId="0">
      <alignment horizontal="center" vertical="center" wrapText="true"/>
    </xf>
    <xf applyAlignment="true" applyBorder="false" applyFill="true" applyFont="true" applyNumberFormat="true" applyProtection="false" borderId="15" fillId="47" fontId="2" numFmtId="184" xfId="0">
      <alignment horizontal="center" vertical="center" wrapText="true"/>
    </xf>
    <xf applyAlignment="true" applyBorder="false" applyFill="true" applyFont="true" applyNumberFormat="true" applyProtection="false" borderId="15" fillId="47" fontId="2" numFmtId="184" xfId="0">
      <alignment horizontal="right" vertical="center" wrapText="true"/>
    </xf>
    <xf applyAlignment="true" applyBorder="false" applyFill="true" applyFont="true" applyNumberFormat="true" applyProtection="false" borderId="15" fillId="47" fontId="2" numFmtId="184" xfId="0">
      <alignment horizontal="left" vertical="center" wrapText="true"/>
    </xf>
    <xf applyAlignment="true" applyBorder="false" applyFill="false" applyFont="true" applyNumberFormat="true" applyProtection="false" borderId="15" fillId="0" fontId="3" numFmtId="184" xfId="0">
      <alignment horizontal="center" vertical="center" wrapText="true"/>
    </xf>
    <xf applyAlignment="true" applyBorder="false" applyFill="false" applyFont="true" applyNumberFormat="true" applyProtection="false" borderId="15" fillId="0" fontId="3" numFmtId="185" xfId="0">
      <alignment horizontal="right" vertical="center" wrapText="true"/>
    </xf>
    <xf applyAlignment="true" applyBorder="false" applyFill="false" applyFont="true" applyNumberFormat="true" applyProtection="false" borderId="15" fillId="0" fontId="3" numFmtId="186" xfId="0">
      <alignment horizontal="right" vertical="center" wrapText="true"/>
    </xf>
    <xf applyAlignment="true" applyBorder="false" applyFill="false" applyFont="true" applyNumberFormat="true" applyProtection="false" borderId="15" fillId="0" fontId="3" numFmtId="184" xfId="0">
      <alignment horizontal="left" vertical="center" wrapText="true"/>
    </xf>
    <xf applyAlignment="true" applyBorder="false" applyFill="true" applyFont="true" applyNumberFormat="true" applyProtection="false" borderId="15" fillId="48" fontId="3" numFmtId="184" xfId="0">
      <alignment horizontal="center" vertical="center" wrapText="true"/>
    </xf>
    <xf applyAlignment="true" applyBorder="false" applyFill="true" applyFont="true" applyNumberFormat="true" applyProtection="false" borderId="15" fillId="48" fontId="3" numFmtId="185" xfId="0">
      <alignment horizontal="right" vertical="center" wrapText="true"/>
    </xf>
    <xf applyAlignment="true" applyBorder="false" applyFill="true" applyFont="true" applyNumberFormat="true" applyProtection="false" borderId="15" fillId="48" fontId="3" numFmtId="186" xfId="0">
      <alignment horizontal="right" vertical="center" wrapText="true"/>
    </xf>
    <xf applyAlignment="true" applyBorder="false" applyFill="true" applyFont="true" applyNumberFormat="true" applyProtection="false" borderId="15" fillId="48" fontId="3" numFmtId="184" xfId="0">
      <alignment horizontal="left" vertical="center" wrapText="true"/>
    </xf>
    <xf applyAlignment="true" applyBorder="false" applyFill="true" applyFont="true" applyNumberFormat="true" applyProtection="false" borderId="15" fillId="49" fontId="2" numFmtId="184" xfId="0">
      <alignment horizontal="center" vertical="center" wrapText="true"/>
    </xf>
    <xf applyAlignment="true" applyBorder="false" applyFill="true" applyFont="true" applyNumberFormat="true" applyProtection="false" borderId="15" fillId="49" fontId="2" numFmtId="185" xfId="0">
      <alignment horizontal="right" vertical="center" wrapText="true"/>
    </xf>
    <xf applyAlignment="true" applyBorder="false" applyFill="true" applyFont="true" applyNumberFormat="true" applyProtection="false" borderId="15" fillId="49" fontId="2" numFmtId="186" xfId="0">
      <alignment horizontal="right" vertical="center" wrapText="true"/>
    </xf>
    <xf applyAlignment="true" applyBorder="false" applyFill="true" applyFont="true" applyNumberFormat="true" applyProtection="false" borderId="15" fillId="49" fontId="2" numFmtId="184" xfId="0">
      <alignment horizontal="left" vertical="center" wrapText="true"/>
    </xf>
    <xf applyAlignment="true" applyBorder="false" applyFill="false" applyFont="true" applyNumberFormat="true" applyProtection="false" borderId="15" fillId="0" fontId="3" numFmtId="184" xfId="0">
      <alignment vertical="center"/>
    </xf>
    <xf applyAlignment="true" applyBorder="false" applyFill="false" applyFont="true" applyNumberFormat="true" applyProtection="false" borderId="15" fillId="0" fontId="3" numFmtId="185" xfId="0">
      <alignment vertical="center"/>
    </xf>
    <xf applyAlignment="true" applyBorder="false" applyFill="false" applyFont="true" applyNumberFormat="true" applyProtection="false" borderId="15" fillId="0" fontId="3" numFmtId="186" xfId="0">
      <alignment vertical="center"/>
    </xf>
    <xf applyAlignment="true" applyBorder="false" applyFill="true" applyFont="true" applyNumberFormat="true" applyProtection="false" borderId="16" fillId="50" fontId="1" numFmtId="187" xfId="0">
      <alignment horizontal="center" vertical="center" wrapText="true"/>
    </xf>
    <xf applyAlignment="true" applyBorder="false" applyFill="false" applyFont="true" applyNumberFormat="true" applyProtection="false" borderId="17" fillId="0" fontId="3" numFmtId="187" xfId="0">
      <alignment vertical="center"/>
    </xf>
    <xf applyAlignment="true" applyBorder="false" applyFill="false" applyFont="true" applyNumberFormat="true" applyProtection="false" borderId="17" fillId="0" fontId="3" numFmtId="187" xfId="0">
      <alignment horizontal="center" vertical="center" wrapText="true"/>
    </xf>
    <xf applyAlignment="true" applyBorder="false" applyFill="false" applyFont="true" applyNumberFormat="true" applyProtection="false" borderId="17" fillId="0" fontId="3" numFmtId="187" xfId="0">
      <alignment horizontal="left" vertical="center" wrapText="true"/>
    </xf>
    <xf applyAlignment="true" applyBorder="false" applyFill="false" applyFont="true" applyNumberFormat="true" applyProtection="false" borderId="17" fillId="0" fontId="2" numFmtId="187" xfId="0">
      <alignment horizontal="center" vertical="center" wrapText="true"/>
    </xf>
    <xf applyAlignment="true" applyBorder="false" applyFill="false" applyFont="true" applyNumberFormat="true" applyProtection="false" borderId="17" fillId="0" fontId="3" numFmtId="187" xfId="0">
      <alignment vertical="center" wrapText="true"/>
    </xf>
    <xf applyAlignment="true" applyBorder="false" applyFill="true" applyFont="true" applyNumberFormat="true" applyProtection="false" borderId="17" fillId="51" fontId="3" numFmtId="187" xfId="0">
      <alignment horizontal="center" vertical="center" wrapText="true"/>
    </xf>
    <xf applyAlignment="true" applyBorder="false" applyFill="true" applyFont="true" applyNumberFormat="true" applyProtection="false" borderId="17" fillId="51" fontId="3" numFmtId="187" xfId="0">
      <alignment horizontal="left" vertical="center" wrapText="true"/>
    </xf>
    <xf applyAlignment="true" applyBorder="false" applyFill="true" applyFont="true" applyNumberFormat="true" applyProtection="false" borderId="17" fillId="51" fontId="2" numFmtId="187" xfId="0">
      <alignment horizontal="center" vertical="center" wrapText="true"/>
    </xf>
    <xf applyAlignment="true" applyBorder="false" applyFill="true" applyFont="true" applyNumberFormat="true" applyProtection="false" borderId="17" fillId="52" fontId="2" numFmtId="187" xfId="0">
      <alignment horizontal="center" vertical="center" wrapText="true"/>
    </xf>
    <xf applyAlignment="true" applyBorder="false" applyFill="false" applyFont="true" applyNumberFormat="true" applyProtection="false" borderId="17" fillId="0" fontId="3" numFmtId="187" xfId="0">
      <alignment horizontal="left" vertical="center" wrapText="true"/>
    </xf>
    <xf applyAlignment="true" applyBorder="false" applyFill="true" applyFont="true" applyNumberFormat="true" applyProtection="false" borderId="17" fillId="51" fontId="3" numFmtId="187" xfId="0">
      <alignment horizontal="left" vertical="center" wrapText="true"/>
    </xf>
    <xf applyAlignment="true" applyBorder="false" applyFill="true" applyFont="true" applyNumberFormat="true" applyProtection="false" borderId="17" fillId="52" fontId="3" numFmtId="187" xfId="0">
      <alignment horizontal="left" vertical="center" wrapText="true"/>
    </xf>
    <xf applyAlignment="true" applyBorder="false" applyFill="true" applyFont="true" applyNumberFormat="true" applyProtection="false" borderId="18" fillId="53" fontId="1" numFmtId="188" xfId="0">
      <alignment horizontal="center" vertical="center" wrapText="true"/>
    </xf>
    <xf applyAlignment="true" applyBorder="false" applyFill="true" applyFont="true" applyNumberFormat="true" applyProtection="false" borderId="18" fillId="54" fontId="2" numFmtId="188" xfId="0">
      <alignment vertical="center" wrapText="true"/>
    </xf>
    <xf applyAlignment="true" applyBorder="false" applyFill="true" applyFont="true" applyNumberFormat="true" applyProtection="false" borderId="18" fillId="54" fontId="2" numFmtId="188" xfId="0">
      <alignment horizontal="center" vertical="center" wrapText="true"/>
    </xf>
    <xf applyAlignment="true" applyBorder="false" applyFill="true" applyFont="true" applyNumberFormat="true" applyProtection="false" borderId="18" fillId="55" fontId="3" numFmtId="188" xfId="0">
      <alignment vertical="center" wrapText="true"/>
    </xf>
    <xf applyAlignment="true" applyBorder="false" applyFill="true" applyFont="true" applyNumberFormat="true" applyProtection="false" borderId="18" fillId="55" fontId="2" numFmtId="188" xfId="0">
      <alignment horizontal="center" vertical="center" wrapText="true"/>
    </xf>
    <xf applyAlignment="true" applyBorder="false" applyFill="true" applyFont="true" applyNumberFormat="true" applyProtection="false" borderId="18" fillId="56" fontId="3" numFmtId="188" xfId="0">
      <alignment vertical="center" wrapText="true"/>
    </xf>
    <xf applyAlignment="true" applyBorder="false" applyFill="true" applyFont="true" applyNumberFormat="true" applyProtection="false" borderId="18" fillId="56" fontId="2" numFmtId="188" xfId="0">
      <alignment horizontal="center" vertical="center" wrapText="true"/>
    </xf>
    <xf applyAlignment="true" applyBorder="false" applyFill="false" applyFont="true" applyNumberFormat="true" applyProtection="false" borderId="18" fillId="0" fontId="3" numFmtId="188" xfId="0">
      <alignment vertical="center" wrapText="true"/>
    </xf>
    <xf applyAlignment="true" applyBorder="false" applyFill="false" applyFont="true" applyNumberFormat="true" applyProtection="false" borderId="18" fillId="0" fontId="2" numFmtId="188" xfId="0">
      <alignment horizontal="center" vertical="center" wrapText="true"/>
    </xf>
    <xf applyAlignment="true" applyBorder="false" applyFill="true" applyFont="true" applyNumberFormat="true" applyProtection="false" borderId="18" fillId="57" fontId="3" numFmtId="188" xfId="0">
      <alignment vertical="center" wrapText="true"/>
    </xf>
    <xf applyAlignment="true" applyBorder="false" applyFill="true" applyFont="true" applyNumberFormat="true" applyProtection="false" borderId="18" fillId="57" fontId="2" numFmtId="188" xfId="0">
      <alignment horizontal="center" vertical="center" wrapText="true"/>
    </xf>
    <xf applyAlignment="true" applyBorder="false" applyFill="true" applyFont="true" applyNumberFormat="true" applyProtection="false" borderId="19" fillId="58" fontId="1" numFmtId="189" xfId="0">
      <alignment vertical="center" wrapText="true"/>
    </xf>
    <xf applyAlignment="true" applyBorder="false" applyFill="false" applyFont="true" applyNumberFormat="true" applyProtection="false" borderId="19" fillId="0" fontId="3" numFmtId="189" xfId="0">
      <alignment vertical="center" wrapText="true"/>
    </xf>
    <xf applyAlignment="true" applyBorder="false" applyFill="true" applyFont="true" applyNumberFormat="false" applyProtection="false" borderId="20" fillId="59" fontId="1" numFmtId="0" xfId="0">
      <alignment vertical="center" wrapText="true"/>
    </xf>
    <xf applyAlignment="true" applyBorder="false" applyFill="false" applyFont="true" applyNumberFormat="false" applyProtection="false" borderId="20" fillId="0" fontId="3" numFmtId="0" xfId="0">
      <alignment vertical="center" wrapText="true"/>
    </xf>
    <xf applyAlignment="true" applyBorder="false" applyFill="true" applyFont="true" applyNumberFormat="true" applyProtection="false" borderId="20" fillId="60" fontId="3" numFmtId="190" xfId="0">
      <alignment horizontal="right" vertical="center" wrapText="true"/>
    </xf>
    <xf applyAlignment="true" applyBorder="false" applyFill="true" applyFont="true" applyNumberFormat="true" applyProtection="false" borderId="20" fillId="61" fontId="3" numFmtId="190" xfId="0">
      <alignment horizontal="right" vertical="center" wrapText="true"/>
    </xf>
    <xf applyAlignment="true" applyBorder="false" applyFill="true" applyFont="true" applyNumberFormat="false" applyProtection="false" borderId="20" fillId="61" fontId="2" numFmtId="0" xfId="0">
      <alignment vertical="center" wrapText="true"/>
    </xf>
    <xf applyAlignment="true" applyBorder="false" applyFill="false" applyFont="true" applyNumberFormat="true" applyProtection="false" borderId="20" fillId="0" fontId="3" numFmtId="190" xfId="0">
      <alignment horizontal="right" vertical="center" wrapText="true"/>
    </xf>
    <xf applyAlignment="true" applyBorder="false" applyFill="false" applyFont="true" applyNumberFormat="true" applyProtection="false" borderId="20" fillId="0" fontId="3" numFmtId="191" xfId="0">
      <alignment horizontal="right" vertical="center" wrapText="true"/>
    </xf>
    <xf applyAlignment="true" applyBorder="false" applyFill="false" applyFont="true" applyNumberFormat="false" applyProtection="false" borderId="20" fillId="0" fontId="2" numFmtId="0" xfId="0">
      <alignment vertical="center" wrapText="true"/>
    </xf>
    <xf applyAlignment="true" applyBorder="false" applyFill="true" applyFont="true" applyNumberFormat="true" applyProtection="false" borderId="21" fillId="62" fontId="1" numFmtId="192" xfId="0">
      <alignment vertical="center" wrapText="true"/>
    </xf>
    <xf applyAlignment="true" applyBorder="false" applyFill="false" applyFont="true" applyNumberFormat="true" applyProtection="false" borderId="21" fillId="0" fontId="3" numFmtId="192" xfId="0">
      <alignment vertical="center" wrapText="true"/>
    </xf>
    <xf applyAlignment="true" applyBorder="false" applyFill="true" applyFont="true" applyNumberFormat="true" applyProtection="false" borderId="22" fillId="63" fontId="1" numFmtId="193" xfId="0">
      <alignment vertical="center" wrapText="true"/>
    </xf>
    <xf applyAlignment="true" applyBorder="false" applyFill="false" applyFont="true" applyNumberFormat="true" applyProtection="false" borderId="22" fillId="0" fontId="3" numFmtId="193" xfId="0">
      <alignment vertical="center" wrapText="true"/>
    </xf>
    <xf applyAlignment="true" applyBorder="false" applyFill="false" applyFont="true" applyNumberFormat="true" applyProtection="false" borderId="22" fillId="0" fontId="3" numFmtId="193" xfId="0">
      <alignment horizontal="right" vertical="center" wrapText="true"/>
    </xf>
    <xf applyAlignment="true" applyBorder="false" applyFill="true" applyFont="true" applyNumberFormat="true" applyProtection="false" borderId="22" fillId="64" fontId="3" numFmtId="193" xfId="0">
      <alignment horizontal="right" vertical="center" wrapText="true"/>
    </xf>
    <xf applyAlignment="true" applyBorder="false" applyFill="true" applyFont="true" applyNumberFormat="true" applyProtection="false" borderId="22" fillId="64" fontId="3" numFmtId="193" xfId="0">
      <alignment vertical="center" wrapText="true"/>
    </xf>
    <xf applyAlignment="true" applyBorder="false" applyFill="false" applyFont="true" applyNumberFormat="false" applyProtection="false" borderId="0" fillId="0" fontId="11" numFmtId="0" xfId="0">
      <alignment vertical="center" wrapText="true"/>
    </xf>
    <xf applyAlignment="true" applyBorder="false" applyFill="false" applyFont="true" applyNumberFormat="false" applyProtection="false" borderId="0" fillId="0" fontId="12" numFmtId="0" xfId="0">
      <alignment vertical="center" wrapText="true"/>
    </xf>
    <xf applyAlignment="true" applyBorder="false" applyFill="true" applyFont="true" applyNumberFormat="false" applyProtection="false" borderId="23" fillId="65" fontId="7" numFmtId="0" xfId="0">
      <alignment horizontal="center" vertical="center" wrapText="true"/>
    </xf>
    <xf applyAlignment="true" applyBorder="false" applyFill="true" applyFont="true" applyNumberFormat="false" applyProtection="false" borderId="23" fillId="66" fontId="12" numFmtId="0" xfId="0">
      <alignment vertical="center" wrapText="true"/>
    </xf>
    <xf applyAlignment="true" applyBorder="false" applyFill="true" applyFont="true" applyNumberFormat="true" applyProtection="false" borderId="23" fillId="66" fontId="13" numFmtId="194" xfId="0">
      <alignment horizontal="right" vertical="center" wrapText="true"/>
    </xf>
    <xf applyAlignment="true" applyBorder="false" applyFill="true" applyFont="true" applyNumberFormat="true" applyProtection="false" borderId="23" fillId="66" fontId="12" numFmtId="195" xfId="0">
      <alignment horizontal="right" vertical="center" wrapText="true"/>
    </xf>
    <xf applyAlignment="true" applyBorder="false" applyFill="true" applyFont="true" applyNumberFormat="true" applyProtection="false" borderId="23" fillId="66" fontId="13" numFmtId="196" xfId="0">
      <alignment horizontal="right" vertical="center" wrapText="true"/>
    </xf>
    <xf applyAlignment="true" applyBorder="false" applyFill="true" applyFont="true" applyNumberFormat="true" applyProtection="false" borderId="23" fillId="66" fontId="12" numFmtId="197" xfId="0">
      <alignment horizontal="right" vertical="center" wrapText="true"/>
    </xf>
    <xf applyAlignment="true" applyBorder="false" applyFill="true" applyFont="true" applyNumberFormat="true" applyProtection="false" borderId="23" fillId="66" fontId="12" numFmtId="198" xfId="0">
      <alignment horizontal="right" vertical="center" wrapText="true"/>
    </xf>
    <xf applyAlignment="true" applyBorder="false" applyFill="true" applyFont="true" applyNumberFormat="true" applyProtection="false" borderId="23" fillId="66" fontId="12" numFmtId="194" xfId="0">
      <alignment horizontal="right" vertical="center" wrapText="true"/>
    </xf>
    <xf applyAlignment="true" applyBorder="false" applyFill="true" applyFont="true" applyNumberFormat="true" applyProtection="false" borderId="23" fillId="66" fontId="12" numFmtId="199" xfId="0">
      <alignment horizontal="right" vertical="center" wrapText="true"/>
    </xf>
    <xf applyAlignment="true" applyBorder="false" applyFill="true" applyFont="true" applyNumberFormat="true" applyProtection="false" borderId="23" fillId="66" fontId="12" numFmtId="196" xfId="0">
      <alignment horizontal="right" vertical="center" wrapText="true"/>
    </xf>
    <xf applyAlignment="true" applyBorder="false" applyFill="true" applyFont="true" applyNumberFormat="false" applyProtection="false" borderId="23" fillId="67" fontId="12" numFmtId="0" xfId="0">
      <alignment vertical="center" wrapText="true"/>
    </xf>
    <xf applyAlignment="true" applyBorder="false" applyFill="true" applyFont="true" applyNumberFormat="true" applyProtection="false" borderId="23" fillId="67" fontId="13" numFmtId="194" xfId="0">
      <alignment horizontal="right" vertical="center" wrapText="true"/>
    </xf>
    <xf applyAlignment="true" applyBorder="false" applyFill="true" applyFont="true" applyNumberFormat="true" applyProtection="false" borderId="23" fillId="67" fontId="12" numFmtId="195" xfId="0">
      <alignment horizontal="right" vertical="center" wrapText="true"/>
    </xf>
    <xf applyAlignment="true" applyBorder="false" applyFill="true" applyFont="true" applyNumberFormat="true" applyProtection="false" borderId="23" fillId="67" fontId="13" numFmtId="196" xfId="0">
      <alignment horizontal="right" vertical="center" wrapText="true"/>
    </xf>
    <xf applyAlignment="true" applyBorder="false" applyFill="true" applyFont="true" applyNumberFormat="true" applyProtection="false" borderId="23" fillId="67" fontId="12" numFmtId="197" xfId="0">
      <alignment horizontal="right" vertical="center" wrapText="true"/>
    </xf>
    <xf applyAlignment="true" applyBorder="false" applyFill="true" applyFont="true" applyNumberFormat="true" applyProtection="false" borderId="23" fillId="67" fontId="12" numFmtId="198" xfId="0">
      <alignment horizontal="right" vertical="center" wrapText="true"/>
    </xf>
    <xf applyAlignment="true" applyBorder="false" applyFill="true" applyFont="true" applyNumberFormat="true" applyProtection="false" borderId="23" fillId="67" fontId="12" numFmtId="194" xfId="0">
      <alignment horizontal="right" vertical="center" wrapText="true"/>
    </xf>
    <xf applyAlignment="true" applyBorder="false" applyFill="true" applyFont="true" applyNumberFormat="true" applyProtection="false" borderId="23" fillId="67" fontId="12" numFmtId="199" xfId="0">
      <alignment horizontal="right" vertical="center" wrapText="true"/>
    </xf>
    <xf applyAlignment="true" applyBorder="false" applyFill="true" applyFont="true" applyNumberFormat="true" applyProtection="false" borderId="23" fillId="67" fontId="12" numFmtId="196" xfId="0">
      <alignment horizontal="right" vertical="center" wrapText="true"/>
    </xf>
    <xf applyAlignment="true" applyBorder="false" applyFill="true" applyFont="true" applyNumberFormat="false" applyProtection="false" borderId="23" fillId="68" fontId="12" numFmtId="0" xfId="0">
      <alignment vertical="center" wrapText="true"/>
    </xf>
    <xf applyAlignment="true" applyBorder="false" applyFill="true" applyFont="true" applyNumberFormat="true" applyProtection="false" borderId="23" fillId="68" fontId="13" numFmtId="194" xfId="0">
      <alignment horizontal="right" vertical="center" wrapText="true"/>
    </xf>
    <xf applyAlignment="true" applyBorder="false" applyFill="true" applyFont="true" applyNumberFormat="true" applyProtection="false" borderId="23" fillId="68" fontId="12" numFmtId="195" xfId="0">
      <alignment horizontal="right" vertical="center" wrapText="true"/>
    </xf>
    <xf applyAlignment="true" applyBorder="false" applyFill="true" applyFont="true" applyNumberFormat="true" applyProtection="false" borderId="23" fillId="68" fontId="13" numFmtId="196" xfId="0">
      <alignment horizontal="right" vertical="center" wrapText="true"/>
    </xf>
    <xf applyAlignment="true" applyBorder="false" applyFill="true" applyFont="true" applyNumberFormat="true" applyProtection="false" borderId="23" fillId="68" fontId="12" numFmtId="197" xfId="0">
      <alignment horizontal="right" vertical="center" wrapText="true"/>
    </xf>
    <xf applyAlignment="true" applyBorder="false" applyFill="true" applyFont="true" applyNumberFormat="true" applyProtection="false" borderId="23" fillId="68" fontId="12" numFmtId="198" xfId="0">
      <alignment horizontal="right" vertical="center" wrapText="true"/>
    </xf>
    <xf applyAlignment="true" applyBorder="false" applyFill="true" applyFont="true" applyNumberFormat="true" applyProtection="false" borderId="23" fillId="68" fontId="12" numFmtId="194" xfId="0">
      <alignment horizontal="right" vertical="center" wrapText="true"/>
    </xf>
    <xf applyAlignment="true" applyBorder="false" applyFill="true" applyFont="true" applyNumberFormat="true" applyProtection="false" borderId="23" fillId="68" fontId="12" numFmtId="199" xfId="0">
      <alignment horizontal="right" vertical="center" wrapText="true"/>
    </xf>
    <xf applyAlignment="true" applyBorder="false" applyFill="true" applyFont="true" applyNumberFormat="true" applyProtection="false" borderId="23" fillId="68" fontId="12" numFmtId="196" xfId="0">
      <alignment horizontal="right" vertical="center" wrapText="true"/>
    </xf>
    <xf applyAlignment="true" applyBorder="false" applyFill="false" applyFont="true" applyNumberFormat="false" applyProtection="false" borderId="0" fillId="0" fontId="19" numFmtId="0" xfId="0">
      <alignment vertical="center" wrapText="true"/>
    </xf>
    <xf applyAlignment="true" applyBorder="false" applyFill="true" applyFont="true" applyNumberFormat="true" applyProtection="false" borderId="0" fillId="69" fontId="12" numFmtId="200" xfId="0">
      <alignment horizontal="right" vertical="center" wrapText="true"/>
    </xf>
    <xf applyAlignment="true" applyBorder="false" applyFill="true" applyFont="true" applyNumberFormat="false" applyProtection="false" borderId="23" fillId="69" fontId="12" numFmtId="0" xfId="0">
      <alignment vertical="center" wrapText="true"/>
    </xf>
    <xf applyAlignment="true" applyBorder="false" applyFill="true" applyFont="true" applyNumberFormat="true" applyProtection="false" borderId="23" fillId="69" fontId="12" numFmtId="196" xfId="0">
      <alignment horizontal="right" vertical="center" wrapText="true"/>
    </xf>
    <xf applyAlignment="true" applyBorder="false" applyFill="true" applyFont="true" applyNumberFormat="true" applyProtection="false" borderId="23" fillId="69" fontId="12" numFmtId="194" xfId="0">
      <alignment horizontal="right" vertical="center" wrapText="true"/>
    </xf>
    <xf applyAlignment="true" applyBorder="false" applyFill="false" applyFont="true" applyNumberFormat="false" applyProtection="false" borderId="23" fillId="0" fontId="12" numFmtId="0" xfId="0">
      <alignment vertical="center" wrapText="true"/>
    </xf>
    <xf applyAlignment="true" applyBorder="false" applyFill="false" applyFont="true" applyNumberFormat="true" applyProtection="false" borderId="23" fillId="0" fontId="12" numFmtId="196" xfId="0">
      <alignment horizontal="right" vertical="center" wrapText="true"/>
    </xf>
    <xf applyAlignment="true" applyBorder="false" applyFill="false" applyFont="true" applyNumberFormat="true" applyProtection="false" borderId="23" fillId="0" fontId="12" numFmtId="194" xfId="0">
      <alignment horizontal="right" vertical="center" wrapText="true"/>
    </xf>
    <xf applyAlignment="true" applyBorder="false" applyFill="false" applyFont="true" applyNumberFormat="true" applyProtection="false" borderId="23" fillId="0" fontId="12" numFmtId="198" xfId="0">
      <alignment horizontal="right" vertical="center" wrapText="true"/>
    </xf>
    <xf applyAlignment="true" applyBorder="false" applyFill="false" applyFont="true" applyNumberFormat="true" applyProtection="false" borderId="23" fillId="0" fontId="12" numFmtId="199" xfId="0">
      <alignment horizontal="right" vertical="center" wrapText="true"/>
    </xf>
    <xf applyAlignment="true" applyBorder="false" applyFill="false" applyFont="true" applyNumberFormat="true" applyProtection="false" borderId="23" fillId="0" fontId="20" numFmtId="199" xfId="0">
      <alignment horizontal="righ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persons/person.xml" Type="http://schemas.microsoft.com/office/2017/10/relationships/person"></Relationship><Relationship Id="rId6" Target="worksheets/sheet2.xml" Type="http://schemas.openxmlformats.org/officeDocument/2006/relationships/worksheet"></Relationship><Relationship Id="rId7" Target="worksheets/sheet3.xml" Type="http://schemas.openxmlformats.org/officeDocument/2006/relationships/worksheet"></Relationship><Relationship Id="rId8" Target="worksheets/sheet4.xml" Type="http://schemas.openxmlformats.org/officeDocument/2006/relationships/worksheet"></Relationship><Relationship Id="rId9" Target="worksheets/sheet5.xml" Type="http://schemas.openxmlformats.org/officeDocument/2006/relationships/worksheet"></Relationship><Relationship Id="rId10" Target="worksheets/sheet6.xml" Type="http://schemas.openxmlformats.org/officeDocument/2006/relationships/worksheet"></Relationship><Relationship Id="rId11" Target="worksheets/sheet7.xml" Type="http://schemas.openxmlformats.org/officeDocument/2006/relationships/worksheet"></Relationship><Relationship Id="rId12" Target="worksheets/sheet8.xml" Type="http://schemas.openxmlformats.org/officeDocument/2006/relationships/worksheet"></Relationship><Relationship Id="rId13" Target="worksheets/sheet9.xml" Type="http://schemas.openxmlformats.org/officeDocument/2006/relationships/worksheet"></Relationship><Relationship Id="rId14" Target="worksheets/sheet10.xml" Type="http://schemas.openxmlformats.org/officeDocument/2006/relationships/worksheet"></Relationship><Relationship Id="rId15" Target="worksheets/sheet11.xml" Type="http://schemas.openxmlformats.org/officeDocument/2006/relationships/worksheet"></Relationship><Relationship Id="rId16" Target="worksheets/sheet12.xml" Type="http://schemas.openxmlformats.org/officeDocument/2006/relationships/worksheet"></Relationship><Relationship Id="rId17" Target="worksheets/sheet13.xml" Type="http://schemas.openxmlformats.org/officeDocument/2006/relationships/worksheet"></Relationship><Relationship Id="rId18" Target="worksheets/sheet14.xml" Type="http://schemas.openxmlformats.org/officeDocument/2006/relationships/worksheet"></Relationship><Relationship Id="rId19" Target="worksheets/sheet15.xml" Type="http://schemas.openxmlformats.org/officeDocument/2006/relationships/worksheet"></Relationship><Relationship Id="rId20" Target="worksheets/sheet16.xml" Type="http://schemas.openxmlformats.org/officeDocument/2006/relationships/worksheet"></Relationship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韩峰" id="{BA91E0AC-CAC4-492E-81F8-7E78986C8320}" userId="S::::64f7f6cd-17ea-4aa8-83ed-f0226c4a4c0c" providerId="AD"/>
  <person displayName="韩静烨" id="{6AEE5AB4-F529-45AF-85BE-C497919CE442}" userId="S::::011a6f55-17e5-4c83-8827-693d047bac3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0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C2" xSplit="2" ySplit="1"/>
    </sheetView>
  </sheetViews>
  <sheetFormatPr defaultRowHeight="0"/>
  <cols>
    <col collapsed="false" customWidth="true" hidden="false" max="4" min="4" style="0" width="51.043753145374836"/>
    <col collapsed="false" customWidth="true" hidden="false" max="5" min="5" style="0" width="12.901408450704226"/>
    <col collapsed="false" customWidth="true" hidden="false" max="1" min="1" style="0" width="7.267605633802817"/>
    <col collapsed="false" customWidth="true" hidden="false" max="2" min="2" style="0" width="13.464788732394366"/>
    <col collapsed="false" customWidth="true" hidden="false" max="3" min="3" style="0" width="48.45315370483773"/>
  </cols>
  <sheetData>
    <row customHeight="true" ht="22.61904761904762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2" t="s">
        <v>6</v>
      </c>
      <c r="B2" s="2" t="s">
        <v>7</v>
      </c>
      <c r="C2" s="3">
        <f>'规则与待确认'!$C$3</f>
      </c>
      <c r="D2" s="3" t="s">
        <v>8</v>
      </c>
      <c r="E2" s="4">
        <f>'规则与待确认'!$D$3</f>
      </c>
    </row>
    <row r="3">
      <c r="A3" s="5" t="s">
        <v>6</v>
      </c>
      <c r="B3" s="5" t="s">
        <v>9</v>
      </c>
      <c r="C3" s="6">
        <f>'规则与待确认'!$C$15</f>
      </c>
      <c r="D3" s="6" t="s">
        <v>10</v>
      </c>
      <c r="E3" s="7">
        <f>'规则与待确认'!$D$15</f>
      </c>
    </row>
    <row r="4">
      <c r="A4" s="8" t="s">
        <v>6</v>
      </c>
      <c r="B4" s="8" t="s">
        <v>11</v>
      </c>
      <c r="C4" s="9" t="s">
        <v>12</v>
      </c>
      <c r="D4" s="9" t="s">
        <v>13</v>
      </c>
      <c r="E4" s="10" t="s">
        <v>14</v>
      </c>
    </row>
    <row r="5">
      <c r="A5" s="8" t="s">
        <v>6</v>
      </c>
      <c r="B5" s="8" t="s">
        <v>15</v>
      </c>
      <c r="C5" s="9">
        <f>'规则与待确认'!$C$3</f>
      </c>
      <c r="D5" s="9" t="s">
        <v>8</v>
      </c>
      <c r="E5" s="10">
        <f>'规则与待确认'!$D$3</f>
      </c>
    </row>
    <row r="6">
      <c r="A6" s="11" t="s">
        <v>6</v>
      </c>
      <c r="B6" s="11" t="s">
        <v>16</v>
      </c>
      <c r="C6" s="12">
        <f>'规则与待确认'!$C$4</f>
      </c>
      <c r="D6" s="12" t="s">
        <v>17</v>
      </c>
      <c r="E6" s="13">
        <f>'规则与待确认'!$D$4</f>
      </c>
    </row>
    <row r="7">
      <c r="A7" s="11" t="s">
        <v>6</v>
      </c>
      <c r="B7" s="11" t="s">
        <v>18</v>
      </c>
      <c r="C7" s="12">
        <f>'规则与待确认'!$C$5</f>
      </c>
      <c r="D7" s="12" t="s">
        <v>19</v>
      </c>
      <c r="E7" s="13">
        <f>'规则与待确认'!$D$5</f>
      </c>
    </row>
    <row r="8">
      <c r="A8" s="11" t="s">
        <v>6</v>
      </c>
      <c r="B8" s="11" t="s">
        <v>20</v>
      </c>
      <c r="C8" s="12">
        <f>'规则与待确认'!$C$6</f>
      </c>
      <c r="D8" s="12" t="s">
        <v>21</v>
      </c>
      <c r="E8" s="13">
        <f>'规则与待确认'!$D$6</f>
      </c>
    </row>
    <row r="9">
      <c r="A9" s="11" t="s">
        <v>6</v>
      </c>
      <c r="B9" s="11" t="s">
        <v>22</v>
      </c>
      <c r="C9" s="12">
        <f>'规则与待确认'!$C$14</f>
      </c>
      <c r="D9" s="12" t="s">
        <v>23</v>
      </c>
      <c r="E9" s="13">
        <f>'规则与待确认'!$D$14</f>
      </c>
    </row>
    <row r="10">
      <c r="A10" s="11" t="s">
        <v>6</v>
      </c>
      <c r="B10" s="11" t="s">
        <v>24</v>
      </c>
      <c r="C10" s="12">
        <f>'规则与待确认'!$C$10</f>
      </c>
      <c r="D10" s="12" t="s">
        <v>25</v>
      </c>
      <c r="E10" s="14">
        <f>'规则与待确认'!$D$10</f>
      </c>
    </row>
    <row r="11">
      <c r="A11" s="11" t="s">
        <v>6</v>
      </c>
      <c r="B11" s="11" t="s">
        <v>26</v>
      </c>
      <c r="C11" s="15">
        <f>'规则与待确认'!$C$8</f>
      </c>
      <c r="D11" s="12" t="s">
        <v>27</v>
      </c>
      <c r="E11" s="13">
        <f>'规则与待确认'!$D$8</f>
      </c>
    </row>
    <row r="12">
      <c r="A12" s="11" t="s">
        <v>6</v>
      </c>
      <c r="B12" s="11" t="s">
        <v>28</v>
      </c>
      <c r="C12" s="12">
        <f>'规则与待确认'!$C$18</f>
      </c>
      <c r="D12" s="12" t="s">
        <v>29</v>
      </c>
      <c r="E12" s="13">
        <f>'规则与待确认'!$D$18</f>
      </c>
    </row>
    <row r="13">
      <c r="A13" s="11" t="s">
        <v>6</v>
      </c>
      <c r="B13" s="11" t="s">
        <v>30</v>
      </c>
      <c r="C13" s="12">
        <f>'规则与待确认'!$C$9</f>
      </c>
      <c r="D13" s="12" t="s">
        <v>31</v>
      </c>
      <c r="E13" s="13">
        <f>'规则与待确认'!$D$9</f>
      </c>
    </row>
    <row r="14">
      <c r="A14" s="11" t="s">
        <v>6</v>
      </c>
      <c r="B14" s="11" t="s">
        <v>32</v>
      </c>
      <c r="C14" s="12">
        <f>'规则与待确认'!$C$24</f>
      </c>
      <c r="D14" s="15" t="s">
        <v>33</v>
      </c>
      <c r="E14" s="13">
        <f>'规则与待确认'!$D$24</f>
      </c>
    </row>
    <row r="15">
      <c r="A15" s="16" t="s">
        <v>34</v>
      </c>
      <c r="B15" s="16" t="s">
        <v>35</v>
      </c>
      <c r="C15" s="17">
        <f>'规则与待确认'!$C$23</f>
      </c>
      <c r="D15" s="17" t="s">
        <v>36</v>
      </c>
      <c r="E15" s="18">
        <f>'规则与待确认'!$D$23</f>
      </c>
    </row>
    <row r="16">
      <c r="A16" s="16" t="s">
        <v>34</v>
      </c>
      <c r="B16" s="16" t="s">
        <v>37</v>
      </c>
      <c r="C16" s="17">
        <f>'规则与待确认'!$C$2</f>
      </c>
      <c r="D16" s="17" t="s">
        <v>38</v>
      </c>
      <c r="E16" s="18">
        <f>'规则与待确认'!$D$2</f>
      </c>
    </row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5" xSplit="3" ySplit="4"/>
    </sheetView>
  </sheetViews>
  <sheetFormatPr defaultRowHeight="0"/>
  <cols>
    <col collapsed="false" customWidth="true" hidden="false" max="13" min="13" style="0" width="11.774647887323944"/>
    <col collapsed="false" customWidth="true" hidden="false" max="1" min="1" style="0" width="20.688043152532213"/>
    <col collapsed="false" customWidth="true" hidden="false" max="5" min="5" style="0" width="12"/>
    <col collapsed="false" customWidth="true" hidden="false" max="9" min="9" style="0" width="11.774647887323944"/>
    <col collapsed="false" customWidth="true" hidden="false" max="16" min="16" style="0" width="43.32394366197183"/>
    <col collapsed="false" customWidth="true" hidden="false" max="4" min="4" style="0" width="12"/>
    <col collapsed="false" customWidth="true" hidden="false" max="8" min="8" style="0" width="11.774647887323944"/>
    <col collapsed="false" customWidth="true" hidden="false" max="12" min="12" style="0" width="11.774647887323944"/>
    <col collapsed="false" customWidth="true" hidden="false" max="15" min="15" style="0" width="30.366197183098592"/>
    <col collapsed="false" customWidth="true" hidden="false" max="3" min="3" style="0" width="9.52112676056338"/>
    <col collapsed="false" customWidth="true" hidden="false" max="7" min="7" style="0" width="12"/>
    <col collapsed="false" customWidth="true" hidden="false" max="11" min="11" style="0" width="11.774647887323944"/>
    <col collapsed="false" customWidth="true" hidden="false" max="14" min="14" style="0" width="19.098591549295776"/>
    <col collapsed="false" customWidth="true" hidden="false" max="2" min="2" style="0" width="12.338028169014084"/>
    <col collapsed="false" customWidth="true" hidden="false" max="6" min="6" style="0" width="12"/>
    <col collapsed="false" customWidth="true" hidden="false" max="10" min="10" style="0" width="11.774647887323944"/>
  </cols>
  <sheetData>
    <row customHeight="true" ht="28.571428571428573" r="1">
      <c r="A1" s="19" t="s">
        <v>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customHeight="true" ht="22.61904761904762" r="2">
      <c r="A2" s="20" t="s">
        <v>40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customHeight="true" ht="22.61904761904762" r="3">
      <c r="A3" s="21" t="s">
        <v>41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</row>
    <row customHeight="true" ht="30.952380952380953" r="4">
      <c r="A4" s="22" t="s">
        <v>42</v>
      </c>
      <c r="B4" s="22" t="s">
        <v>43</v>
      </c>
      <c r="C4" s="22" t="s">
        <v>44</v>
      </c>
      <c r="D4" s="22" t="s">
        <v>45</v>
      </c>
      <c r="E4" s="22" t="s">
        <v>46</v>
      </c>
      <c r="F4" s="22" t="s">
        <v>47</v>
      </c>
      <c r="G4" s="22" t="s">
        <v>48</v>
      </c>
      <c r="H4" s="22" t="s">
        <v>49</v>
      </c>
      <c r="I4" s="22" t="s">
        <v>50</v>
      </c>
      <c r="J4" s="22" t="s">
        <v>51</v>
      </c>
      <c r="K4" s="22" t="s">
        <v>52</v>
      </c>
      <c r="L4" s="22" t="s">
        <v>53</v>
      </c>
      <c r="M4" s="22" t="s">
        <v>54</v>
      </c>
      <c r="N4" s="22" t="s">
        <v>55</v>
      </c>
      <c r="O4" s="22" t="s">
        <v>56</v>
      </c>
      <c r="P4" s="22" t="s">
        <v>57</v>
      </c>
    </row>
    <row customHeight="true" ht="34.523809523809526" r="5">
      <c r="A5" s="23" t="s">
        <v>58</v>
      </c>
      <c r="B5" s="24" t="s">
        <v>59</v>
      </c>
      <c r="C5" s="24">
        <v>0</v>
      </c>
      <c r="D5" s="25">
        <v>0</v>
      </c>
      <c r="E5" s="26" t="s">
        <v>60</v>
      </c>
      <c r="F5" s="25">
        <v>0</v>
      </c>
      <c r="G5" s="25">
        <v>300</v>
      </c>
      <c r="H5" s="27">
        <v>0</v>
      </c>
      <c r="I5" s="27">
        <v>0</v>
      </c>
      <c r="J5" s="27">
        <v>0</v>
      </c>
      <c r="K5" s="27">
        <v>0</v>
      </c>
      <c r="L5" s="27">
        <v>0</v>
      </c>
      <c r="M5" s="27">
        <v>0</v>
      </c>
      <c r="N5" s="24" t="s">
        <v>61</v>
      </c>
      <c r="O5" s="28" t="s">
        <v>62</v>
      </c>
      <c r="P5" s="28" t="s">
        <v>63</v>
      </c>
    </row>
    <row customHeight="true" ht="34.523809523809526" r="6">
      <c r="A6" s="29" t="s">
        <v>64</v>
      </c>
      <c r="B6" s="30" t="s">
        <v>65</v>
      </c>
      <c r="C6" s="30">
        <f>$D$6/1000</f>
      </c>
      <c r="D6" s="31">
        <f>'定价推演 （最终）'!$F$3</f>
      </c>
      <c r="E6" s="32" t="s">
        <v>66</v>
      </c>
      <c r="F6" s="31">
        <f>$D$6</f>
      </c>
      <c r="G6" s="33">
        <v>300</v>
      </c>
      <c r="H6" s="34">
        <f>'定价推演 （最终）'!$C$3</f>
      </c>
      <c r="I6" s="34">
        <f>'定价推演 （最终）'!$C$5</f>
      </c>
      <c r="J6" s="34">
        <f>'定价推演 （最终）'!$D$3</f>
      </c>
      <c r="K6" s="34">
        <f>'定价推演 （最终）'!$D$5</f>
      </c>
      <c r="L6" s="34">
        <f>'定价推演 （最终）'!$D$4</f>
      </c>
      <c r="M6" s="34">
        <f>'定价推演 （最终）'!$C$4</f>
      </c>
      <c r="N6" s="30" t="s">
        <v>67</v>
      </c>
      <c r="O6" s="35">
        <f>'AI 权益'!$F$3</f>
      </c>
      <c r="P6" s="35" t="s">
        <v>68</v>
      </c>
    </row>
    <row customHeight="true" ht="34.523809523809526" r="7">
      <c r="A7" s="29" t="s">
        <v>64</v>
      </c>
      <c r="B7" s="29" t="s">
        <v>69</v>
      </c>
      <c r="C7" s="29">
        <f>$D$7/1000</f>
      </c>
      <c r="D7" s="36">
        <f>'定价推演 （最终）'!$F$6</f>
      </c>
      <c r="E7" s="37" t="s">
        <v>66</v>
      </c>
      <c r="F7" s="36">
        <f>$D$7</f>
      </c>
      <c r="G7" s="38">
        <v>300</v>
      </c>
      <c r="H7" s="39">
        <f>'定价推演 （最终）'!$C$6</f>
      </c>
      <c r="I7" s="39">
        <f>'定价推演 （最终）'!$C$8</f>
      </c>
      <c r="J7" s="39">
        <f>'定价推演 （最终）'!$D$6</f>
      </c>
      <c r="K7" s="39">
        <f>'定价推演 （最终）'!$D$8</f>
      </c>
      <c r="L7" s="40">
        <f>'定价推演 （最终）'!$D$7</f>
      </c>
      <c r="M7" s="40">
        <f>'定价推演 （最终）'!$C$7</f>
      </c>
      <c r="N7" s="30" t="s">
        <v>67</v>
      </c>
      <c r="O7" s="41">
        <f>'AI 权益'!$F$4</f>
      </c>
      <c r="P7" s="41" t="s">
        <v>68</v>
      </c>
    </row>
    <row customHeight="true" ht="34.523809523809526" r="8">
      <c r="A8" s="29" t="s">
        <v>64</v>
      </c>
      <c r="B8" s="29" t="s">
        <v>70</v>
      </c>
      <c r="C8" s="29">
        <f>$D$8/1000</f>
      </c>
      <c r="D8" s="36">
        <f>'定价推演 （最终）'!$F$9</f>
      </c>
      <c r="E8" s="37" t="s">
        <v>66</v>
      </c>
      <c r="F8" s="36">
        <f>$D$8</f>
      </c>
      <c r="G8" s="38">
        <v>300</v>
      </c>
      <c r="H8" s="39">
        <f>'定价推演 （最终）'!$C$9</f>
      </c>
      <c r="I8" s="39">
        <f>'定价推演 （最终）'!$C$11</f>
      </c>
      <c r="J8" s="39">
        <f>'定价推演 （最终）'!$D$9</f>
      </c>
      <c r="K8" s="39">
        <f>'定价推演 （最终）'!$D$11</f>
      </c>
      <c r="L8" s="40">
        <f>'定价推演 （最终）'!$D$10</f>
      </c>
      <c r="M8" s="40">
        <f>'定价推演 （最终）'!$C$10</f>
      </c>
      <c r="N8" s="30" t="s">
        <v>67</v>
      </c>
      <c r="O8" s="41">
        <f>'AI 权益'!$F$5</f>
      </c>
      <c r="P8" s="41" t="s">
        <v>68</v>
      </c>
    </row>
    <row customHeight="true" ht="34.523809523809526" r="9">
      <c r="A9" s="42" t="s">
        <v>64</v>
      </c>
      <c r="B9" s="43" t="s">
        <v>71</v>
      </c>
      <c r="C9" s="43">
        <f>$D$9/1000</f>
      </c>
      <c r="D9" s="44">
        <f>'定价推演 （最终）'!$F$12</f>
      </c>
      <c r="E9" s="45" t="s">
        <v>66</v>
      </c>
      <c r="F9" s="44">
        <f>$D$9</f>
      </c>
      <c r="G9" s="46">
        <v>300</v>
      </c>
      <c r="H9" s="47">
        <f>'定价推演 （最终）'!$C$12</f>
      </c>
      <c r="I9" s="47">
        <f>'定价推演 （最终）'!$C$14</f>
      </c>
      <c r="J9" s="47">
        <f>'定价推演 （最终）'!$D$12</f>
      </c>
      <c r="K9" s="47">
        <f>'定价推演 （最终）'!$D$14</f>
      </c>
      <c r="L9" s="47">
        <f>'定价推演 （最终）'!$D$13</f>
      </c>
      <c r="M9" s="47">
        <f>'定价推演 （最终）'!$C$13</f>
      </c>
      <c r="N9" s="43" t="s">
        <v>67</v>
      </c>
      <c r="O9" s="48">
        <f>'AI 权益'!$F$6</f>
      </c>
      <c r="P9" s="48" t="s">
        <v>68</v>
      </c>
    </row>
    <row customHeight="true" ht="34.523809523809526" r="10">
      <c r="A10" s="49" t="s">
        <v>72</v>
      </c>
      <c r="B10" s="50" t="s">
        <v>65</v>
      </c>
      <c r="C10" s="50">
        <f>$D$10/1000</f>
      </c>
      <c r="D10" s="51">
        <f>'定价推演 （最终）'!$F$15</f>
      </c>
      <c r="E10" s="52" t="s">
        <v>66</v>
      </c>
      <c r="F10" s="51">
        <f>$D$10</f>
      </c>
      <c r="G10" s="53">
        <v>300</v>
      </c>
      <c r="H10" s="54">
        <f>'定价推演 （最终）'!$C$15</f>
      </c>
      <c r="I10" s="54">
        <f>'定价推演 （最终）'!$C$17</f>
      </c>
      <c r="J10" s="54">
        <f>'定价推演 （最终）'!$D$15</f>
      </c>
      <c r="K10" s="54">
        <f>'定价推演 （最终）'!$D$17</f>
      </c>
      <c r="L10" s="54">
        <f>'定价推演 （最终）'!$D$16</f>
      </c>
      <c r="M10" s="54">
        <f>'定价推演 （最终）'!$C$16</f>
      </c>
      <c r="N10" s="50" t="s">
        <v>67</v>
      </c>
      <c r="O10" s="55">
        <f>'AI 权益'!$F$7</f>
      </c>
      <c r="P10" s="55" t="s">
        <v>68</v>
      </c>
    </row>
    <row customHeight="true" ht="34.523809523809526" r="11">
      <c r="A11" s="49" t="s">
        <v>72</v>
      </c>
      <c r="B11" s="56" t="s">
        <v>69</v>
      </c>
      <c r="C11" s="49">
        <f>$D$11/1000</f>
      </c>
      <c r="D11" s="57">
        <f>'定价推演 （最终）'!$F$18</f>
      </c>
      <c r="E11" s="58" t="s">
        <v>66</v>
      </c>
      <c r="F11" s="59">
        <f>$D$11</f>
      </c>
      <c r="G11" s="59">
        <v>300</v>
      </c>
      <c r="H11" s="60">
        <f>'定价推演 （最终）'!$C$18</f>
      </c>
      <c r="I11" s="61">
        <f>'定价推演 （最终）'!$C$20</f>
      </c>
      <c r="J11" s="61">
        <f>'定价推演 （最终）'!$D$18</f>
      </c>
      <c r="K11" s="61">
        <f>'定价推演 （最终）'!$D$20</f>
      </c>
      <c r="L11" s="62">
        <f>'定价推演 （最终）'!$D$19</f>
      </c>
      <c r="M11" s="63">
        <f>'定价推演 （最终）'!$C$19</f>
      </c>
      <c r="N11" s="50" t="s">
        <v>67</v>
      </c>
      <c r="O11" s="64">
        <f>'AI 权益'!$F$8</f>
      </c>
      <c r="P11" s="64" t="s">
        <v>68</v>
      </c>
      <c r="Q11" s="65"/>
      <c r="R11" s="65"/>
      <c r="S11" s="65"/>
      <c r="T11" s="65"/>
    </row>
    <row customHeight="true" ht="34.523809523809526" r="12">
      <c r="A12" s="49" t="s">
        <v>72</v>
      </c>
      <c r="B12" s="56" t="s">
        <v>70</v>
      </c>
      <c r="C12" s="49">
        <f>$D$12/1000</f>
      </c>
      <c r="D12" s="57">
        <f>'定价推演 （最终）'!$F$21</f>
      </c>
      <c r="E12" s="66" t="s">
        <v>66</v>
      </c>
      <c r="F12" s="57">
        <f>$D$12</f>
      </c>
      <c r="G12" s="59">
        <v>300</v>
      </c>
      <c r="H12" s="60">
        <f>'定价推演 （最终）'!$C$21</f>
      </c>
      <c r="I12" s="61">
        <f>'定价推演 （最终）'!$C$23</f>
      </c>
      <c r="J12" s="61">
        <f>'定价推演 （最终）'!$D$21</f>
      </c>
      <c r="K12" s="61">
        <f>'定价推演 （最终）'!$D$23</f>
      </c>
      <c r="L12" s="62">
        <f>'定价推演 （最终）'!$D$22</f>
      </c>
      <c r="M12" s="63">
        <f>'定价推演 （最终）'!$C$22</f>
      </c>
      <c r="N12" s="50" t="s">
        <v>67</v>
      </c>
      <c r="O12" s="64">
        <f>'AI 权益'!$F$9</f>
      </c>
      <c r="P12" s="64" t="s">
        <v>68</v>
      </c>
      <c r="Q12" s="65"/>
      <c r="R12" s="65"/>
      <c r="S12" s="65"/>
      <c r="T12" s="65"/>
    </row>
    <row customHeight="true" ht="34.523809523809526" r="13">
      <c r="A13" s="67" t="s">
        <v>72</v>
      </c>
      <c r="B13" s="68" t="s">
        <v>71</v>
      </c>
      <c r="C13" s="68">
        <f>$D$13/1000</f>
      </c>
      <c r="D13" s="69">
        <f>'定价推演 （最终）'!$F$24</f>
      </c>
      <c r="E13" s="70" t="s">
        <v>66</v>
      </c>
      <c r="F13" s="71">
        <f>$D$13</f>
      </c>
      <c r="G13" s="72">
        <v>300</v>
      </c>
      <c r="H13" s="73">
        <f>'定价推演 （最终）'!$C$24</f>
      </c>
      <c r="I13" s="74">
        <f>'定价推演 （最终）'!$C$26</f>
      </c>
      <c r="J13" s="74">
        <f>'定价推演 （最终）'!$D$24</f>
      </c>
      <c r="K13" s="74">
        <f>'定价推演 （最终）'!$D$26</f>
      </c>
      <c r="L13" s="74">
        <f>'定价推演 （最终）'!$D$25</f>
      </c>
      <c r="M13" s="74">
        <f>'定价推演 （最终）'!$C$25</f>
      </c>
      <c r="N13" s="75" t="s">
        <v>67</v>
      </c>
      <c r="O13" s="75">
        <f>'AI 权益'!$F$10</f>
      </c>
      <c r="P13" s="75" t="s">
        <v>68</v>
      </c>
      <c r="Q13" s="65"/>
      <c r="R13" s="65"/>
      <c r="S13" s="65"/>
      <c r="T13" s="65"/>
    </row>
    <row customHeight="true" ht="23.80952380952381" r="14">
      <c r="A14" s="76" t="s">
        <v>73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65"/>
      <c r="R14" s="65"/>
      <c r="S14" s="65"/>
      <c r="T14" s="65"/>
    </row>
    <row customHeight="true" ht="29.761904761904763" r="15">
      <c r="A15" s="77" t="s">
        <v>74</v>
      </c>
      <c r="B15" s="78" t="s">
        <v>75</v>
      </c>
      <c r="C15" s="77" t="s">
        <v>76</v>
      </c>
      <c r="D15" s="77" t="s">
        <v>77</v>
      </c>
      <c r="E15" s="78" t="s">
        <v>78</v>
      </c>
      <c r="F15" s="78" t="s">
        <v>79</v>
      </c>
      <c r="G15" s="77" t="s">
        <v>80</v>
      </c>
      <c r="H15" s="78" t="s">
        <v>81</v>
      </c>
      <c r="I15" s="77" t="s">
        <v>82</v>
      </c>
      <c r="J15" s="77" t="s">
        <v>83</v>
      </c>
      <c r="K15" s="77" t="s">
        <v>84</v>
      </c>
      <c r="L15" s="77" t="s">
        <v>85</v>
      </c>
      <c r="M15" s="77" t="s">
        <v>86</v>
      </c>
      <c r="N15" s="79" t="s">
        <v>87</v>
      </c>
      <c r="O15" s="79" t="s">
        <v>87</v>
      </c>
      <c r="P15" s="79" t="s">
        <v>87</v>
      </c>
      <c r="Q15" s="65"/>
      <c r="R15" s="65"/>
      <c r="S15" s="65"/>
      <c r="T15" s="65"/>
    </row>
    <row customHeight="true" ht="25" r="16">
      <c r="A16" s="67">
        <f>'AI 权益'!$A$3</f>
      </c>
      <c r="B16" s="80">
        <f>'AI 权益'!$B$3</f>
      </c>
      <c r="C16" s="81">
        <f>'AI 权益'!$C$3</f>
      </c>
      <c r="D16" s="81">
        <f>'AI 权益'!$D$3</f>
      </c>
      <c r="E16" s="81">
        <f>'AI 权益'!$E$3</f>
      </c>
      <c r="F16" s="81">
        <f>'AI 权益'!$F$3</f>
      </c>
      <c r="G16" s="81">
        <f>'AI 权益'!$G$3</f>
      </c>
      <c r="H16" s="82">
        <f>'AI 权益'!$H$3</f>
      </c>
      <c r="I16" s="81">
        <f>'AI 权益'!$I$3</f>
      </c>
      <c r="J16" s="81">
        <f>'AI 权益'!$L$3</f>
      </c>
      <c r="K16" s="81">
        <f>'AI 权益'!$M$3</f>
      </c>
      <c r="L16" s="81">
        <f>'AI 权益'!$N$3</f>
      </c>
      <c r="M16" s="79" t="s">
        <v>88</v>
      </c>
      <c r="N16" s="79" t="s">
        <v>87</v>
      </c>
      <c r="O16" s="79" t="s">
        <v>87</v>
      </c>
      <c r="P16" s="79" t="s">
        <v>87</v>
      </c>
      <c r="Q16" s="65"/>
      <c r="R16" s="65"/>
      <c r="S16" s="65"/>
      <c r="T16" s="65"/>
    </row>
    <row customHeight="true" ht="25" r="17">
      <c r="A17" s="83">
        <f>'AI 权益'!$A$4</f>
      </c>
      <c r="B17" s="84">
        <f>'AI 权益'!$B$4</f>
      </c>
      <c r="C17" s="85">
        <f>'AI 权益'!$C$4</f>
      </c>
      <c r="D17" s="85">
        <f>'AI 权益'!$D$4</f>
      </c>
      <c r="E17" s="86">
        <f>'AI 权益'!$E$4</f>
      </c>
      <c r="F17" s="86">
        <f>'AI 权益'!$F$4</f>
      </c>
      <c r="G17" s="85">
        <f>'AI 权益'!$G$4</f>
      </c>
      <c r="H17" s="86">
        <f>'AI 权益'!$H$4</f>
      </c>
      <c r="I17" s="85">
        <f>'AI 权益'!$I$4</f>
      </c>
      <c r="J17" s="85">
        <f>'AI 权益'!$L$4</f>
      </c>
      <c r="K17" s="85">
        <f>'AI 权益'!$M$4</f>
      </c>
      <c r="L17" s="85">
        <f>'AI 权益'!$N$4</f>
      </c>
      <c r="M17" s="87" t="s">
        <v>88</v>
      </c>
      <c r="N17" s="87" t="s">
        <v>87</v>
      </c>
      <c r="O17" s="87" t="s">
        <v>87</v>
      </c>
      <c r="P17" s="87" t="s">
        <v>87</v>
      </c>
      <c r="Q17" s="88"/>
      <c r="R17" s="88"/>
      <c r="S17" s="88"/>
      <c r="T17" s="88"/>
    </row>
    <row customHeight="true" ht="25" r="18">
      <c r="A18" s="83">
        <f>'AI 权益'!$A$5</f>
      </c>
      <c r="B18" s="84">
        <f>'AI 权益'!$B$5</f>
      </c>
      <c r="C18" s="85">
        <f>'AI 权益'!$C$5</f>
      </c>
      <c r="D18" s="85">
        <f>'AI 权益'!$D$5</f>
      </c>
      <c r="E18" s="85">
        <f>'AI 权益'!$E$5</f>
      </c>
      <c r="F18" s="86">
        <f>'AI 权益'!$F$5</f>
      </c>
      <c r="G18" s="85">
        <f>'AI 权益'!$G$5</f>
      </c>
      <c r="H18" s="86">
        <f>'AI 权益'!$H$5</f>
      </c>
      <c r="I18" s="85">
        <f>'AI 权益'!$I$5</f>
      </c>
      <c r="J18" s="85">
        <f>'AI 权益'!$L$5</f>
      </c>
      <c r="K18" s="85">
        <f>'AI 权益'!$M$5</f>
      </c>
      <c r="L18" s="85">
        <f>'AI 权益'!$N$5</f>
      </c>
      <c r="M18" s="87" t="s">
        <v>88</v>
      </c>
      <c r="N18" s="87" t="s">
        <v>87</v>
      </c>
      <c r="O18" s="87" t="s">
        <v>87</v>
      </c>
      <c r="P18" s="87" t="s">
        <v>87</v>
      </c>
      <c r="Q18" s="88"/>
      <c r="R18" s="88"/>
      <c r="S18" s="88"/>
      <c r="T18" s="88"/>
    </row>
    <row customHeight="true" ht="25" r="19">
      <c r="A19" s="83">
        <f>'AI 权益'!$A$6</f>
      </c>
      <c r="B19" s="84">
        <f>'AI 权益'!$B$6</f>
      </c>
      <c r="C19" s="86">
        <f>'AI 权益'!$C$6</f>
      </c>
      <c r="D19" s="85">
        <f>'AI 权益'!$D$6</f>
      </c>
      <c r="E19" s="86">
        <f>'AI 权益'!$E$6</f>
      </c>
      <c r="F19" s="86">
        <f>'AI 权益'!$F$6</f>
      </c>
      <c r="G19" s="85">
        <f>'AI 权益'!$G$6</f>
      </c>
      <c r="H19" s="86">
        <f>'AI 权益'!$H$6</f>
      </c>
      <c r="I19" s="85">
        <f>'AI 权益'!$I$6</f>
      </c>
      <c r="J19" s="85">
        <f>'AI 权益'!$L$6</f>
      </c>
      <c r="K19" s="85">
        <f>'AI 权益'!$M$6</f>
      </c>
      <c r="L19" s="85">
        <f>'AI 权益'!$N$6</f>
      </c>
      <c r="M19" s="87" t="s">
        <v>88</v>
      </c>
      <c r="N19" s="87" t="s">
        <v>87</v>
      </c>
      <c r="O19" s="87" t="s">
        <v>87</v>
      </c>
      <c r="P19" s="87" t="s">
        <v>87</v>
      </c>
      <c r="Q19" s="88"/>
      <c r="R19" s="88"/>
      <c r="S19" s="88"/>
      <c r="T19" s="88"/>
    </row>
    <row customHeight="true" ht="25" r="20">
      <c r="A20" s="83">
        <f>'AI 权益'!$A$7</f>
      </c>
      <c r="B20" s="89">
        <f>'AI 权益'!$B$7</f>
      </c>
      <c r="C20" s="90">
        <f>'AI 权益'!$C$7</f>
      </c>
      <c r="D20" s="90">
        <f>'AI 权益'!$D$7</f>
      </c>
      <c r="E20" s="91">
        <f>'AI 权益'!$E$7</f>
      </c>
      <c r="F20" s="91">
        <f>'AI 权益'!$F$7</f>
      </c>
      <c r="G20" s="90">
        <f>'AI 权益'!$G$7</f>
      </c>
      <c r="H20" s="86">
        <f>'AI 权益'!$H$7</f>
      </c>
      <c r="I20" s="90">
        <f>'AI 权益'!$I$7</f>
      </c>
      <c r="J20" s="90">
        <f>'AI 权益'!$L$7</f>
      </c>
      <c r="K20" s="90">
        <f>'AI 权益'!$M$7</f>
      </c>
      <c r="L20" s="90">
        <f>'AI 权益'!$N$7</f>
      </c>
      <c r="M20" s="92" t="s">
        <v>88</v>
      </c>
      <c r="N20" s="92" t="s">
        <v>87</v>
      </c>
      <c r="O20" s="92" t="s">
        <v>87</v>
      </c>
      <c r="P20" s="92" t="s">
        <v>87</v>
      </c>
      <c r="Q20" s="88"/>
      <c r="R20" s="88"/>
      <c r="S20" s="88"/>
      <c r="T20" s="88"/>
    </row>
    <row customHeight="true" ht="25" r="21">
      <c r="A21" s="83">
        <f>'AI 权益'!$A$8</f>
      </c>
      <c r="B21" s="89">
        <f>'AI 权益'!$B$8</f>
      </c>
      <c r="C21" s="90">
        <f>'AI 权益'!$C$8</f>
      </c>
      <c r="D21" s="90">
        <f>'AI 权益'!$D$8</f>
      </c>
      <c r="E21" s="90">
        <f>'AI 权益'!$E$8</f>
      </c>
      <c r="F21" s="90">
        <f>'AI 权益'!$F$8</f>
      </c>
      <c r="G21" s="90">
        <f>'AI 权益'!$G$8</f>
      </c>
      <c r="H21" s="86">
        <f>'AI 权益'!$H$8</f>
      </c>
      <c r="I21" s="90">
        <f>'AI 权益'!$I$8</f>
      </c>
      <c r="J21" s="90">
        <f>'AI 权益'!$L$8</f>
      </c>
      <c r="K21" s="90">
        <f>'AI 权益'!$M$8</f>
      </c>
      <c r="L21" s="90">
        <f>'AI 权益'!$N$8</f>
      </c>
      <c r="M21" s="92" t="s">
        <v>88</v>
      </c>
      <c r="N21" s="92" t="s">
        <v>87</v>
      </c>
      <c r="O21" s="92" t="s">
        <v>87</v>
      </c>
      <c r="P21" s="92" t="s">
        <v>87</v>
      </c>
      <c r="Q21" s="88"/>
      <c r="R21" s="88"/>
      <c r="S21" s="88"/>
      <c r="T21" s="88"/>
    </row>
    <row customHeight="true" ht="25" r="22">
      <c r="A22" s="83">
        <f>'AI 权益'!$A$9</f>
      </c>
      <c r="B22" s="89">
        <f>'AI 权益'!$B$9</f>
      </c>
      <c r="C22" s="91">
        <f>'AI 权益'!$C$9</f>
      </c>
      <c r="D22" s="90">
        <f>'AI 权益'!$D$9</f>
      </c>
      <c r="E22" s="90">
        <f>'AI 权益'!$E$9</f>
      </c>
      <c r="F22" s="90">
        <f>'AI 权益'!$F$9</f>
      </c>
      <c r="G22" s="90">
        <f>'AI 权益'!$G$9</f>
      </c>
      <c r="H22" s="86">
        <f>'AI 权益'!$H$9</f>
      </c>
      <c r="I22" s="90">
        <f>'AI 权益'!$I$9</f>
      </c>
      <c r="J22" s="90">
        <f>'AI 权益'!$L$9</f>
      </c>
      <c r="K22" s="90">
        <f>'AI 权益'!$M$9</f>
      </c>
      <c r="L22" s="90">
        <f>'AI 权益'!$N$9</f>
      </c>
      <c r="M22" s="92" t="s">
        <v>88</v>
      </c>
      <c r="N22" s="92" t="s">
        <v>87</v>
      </c>
      <c r="O22" s="92" t="s">
        <v>87</v>
      </c>
      <c r="P22" s="92" t="s">
        <v>87</v>
      </c>
      <c r="Q22" s="88"/>
      <c r="R22" s="88"/>
      <c r="S22" s="88"/>
      <c r="T22" s="88"/>
    </row>
    <row customHeight="true" ht="22.61904761904762" r="23">
      <c r="A23" s="93" t="s">
        <v>89</v>
      </c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88"/>
      <c r="R23" s="88"/>
      <c r="S23" s="88"/>
      <c r="T23" s="88"/>
    </row>
    <row customHeight="true" ht="25" r="24">
      <c r="A24" s="83">
        <f>'AI 权益'!$A$10</f>
      </c>
      <c r="B24" s="84">
        <f>'AI 权益'!$B$10</f>
      </c>
      <c r="C24" s="83">
        <f>'AI 权益'!$C$10</f>
      </c>
      <c r="D24" s="87">
        <f>'AI 权益'!$D$10</f>
      </c>
      <c r="E24" s="85">
        <f>'AI 权益'!$E$10</f>
      </c>
      <c r="F24" s="85">
        <f>'AI 权益'!$F$10</f>
      </c>
      <c r="G24" s="85">
        <f>'AI 权益'!$G$10</f>
      </c>
      <c r="H24" s="86">
        <f>'AI 权益'!$H$10</f>
      </c>
      <c r="I24" s="85">
        <f>'AI 权益'!$I$10</f>
      </c>
      <c r="J24" s="85">
        <f>'AI 权益'!$L$10</f>
      </c>
      <c r="K24" s="85">
        <f>'AI 权益'!$M$10</f>
      </c>
      <c r="L24" s="85">
        <f>'AI 权益'!$N$10</f>
      </c>
      <c r="M24" s="85" t="s">
        <v>88</v>
      </c>
      <c r="N24" s="87" t="s">
        <v>87</v>
      </c>
      <c r="O24" s="87" t="s">
        <v>87</v>
      </c>
      <c r="P24" s="87" t="s">
        <v>87</v>
      </c>
      <c r="Q24" s="88"/>
      <c r="R24" s="88"/>
      <c r="S24" s="88"/>
      <c r="T24" s="88"/>
    </row>
    <row customHeight="true" ht="23.80952380952381" r="25">
      <c r="A25" s="76" t="s">
        <v>90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88"/>
      <c r="R25" s="88"/>
      <c r="S25" s="88"/>
      <c r="T25" s="88"/>
    </row>
    <row customHeight="true" ht="22.61904761904762" r="26">
      <c r="A26" s="94" t="s">
        <v>91</v>
      </c>
      <c r="B26" s="94" t="s">
        <v>92</v>
      </c>
      <c r="C26" s="94" t="s">
        <v>93</v>
      </c>
      <c r="D26" s="94" t="s">
        <v>55</v>
      </c>
      <c r="E26" s="94" t="s">
        <v>94</v>
      </c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</row>
    <row customHeight="true" ht="22.61904761904762" r="27">
      <c r="A27" s="95" t="s">
        <v>95</v>
      </c>
      <c r="B27" s="96" t="s">
        <v>96</v>
      </c>
      <c r="C27" s="97" t="s">
        <v>97</v>
      </c>
      <c r="D27" s="97" t="s">
        <v>98</v>
      </c>
      <c r="E27" s="98" t="s">
        <v>99</v>
      </c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</row>
    <row customHeight="true" ht="22.61904761904762" r="28">
      <c r="A28" s="95" t="s">
        <v>100</v>
      </c>
      <c r="B28" s="96" t="s">
        <v>101</v>
      </c>
      <c r="C28" s="97" t="s">
        <v>97</v>
      </c>
      <c r="D28" s="97" t="s">
        <v>98</v>
      </c>
      <c r="E28" s="98" t="s">
        <v>102</v>
      </c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</row>
    <row customHeight="true" ht="22.61904761904762" r="29">
      <c r="A29" s="95" t="s">
        <v>103</v>
      </c>
      <c r="B29" s="96" t="s">
        <v>104</v>
      </c>
      <c r="C29" s="97" t="s">
        <v>105</v>
      </c>
      <c r="D29" s="97" t="s">
        <v>104</v>
      </c>
      <c r="E29" s="98" t="s">
        <v>106</v>
      </c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</row>
    <row customHeight="true" ht="22.61904761904762" r="30">
      <c r="A30" s="95" t="s">
        <v>107</v>
      </c>
      <c r="B30" s="96" t="s">
        <v>104</v>
      </c>
      <c r="C30" s="97" t="s">
        <v>105</v>
      </c>
      <c r="D30" s="97" t="s">
        <v>104</v>
      </c>
      <c r="E30" s="98" t="s">
        <v>108</v>
      </c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</row>
    <row customHeight="true" ht="22.61904761904762" r="31">
      <c r="A31" s="95" t="s">
        <v>109</v>
      </c>
      <c r="B31" s="96" t="s">
        <v>104</v>
      </c>
      <c r="C31" s="97" t="s">
        <v>105</v>
      </c>
      <c r="D31" s="97" t="s">
        <v>104</v>
      </c>
      <c r="E31" s="98" t="s">
        <v>110</v>
      </c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</row>
    <row customHeight="true" ht="22.61904761904762" r="32">
      <c r="A32" s="95" t="s">
        <v>111</v>
      </c>
      <c r="B32" s="96" t="s">
        <v>104</v>
      </c>
      <c r="C32" s="97" t="s">
        <v>112</v>
      </c>
      <c r="D32" s="97" t="s">
        <v>104</v>
      </c>
      <c r="E32" s="98" t="s">
        <v>113</v>
      </c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</row>
    <row customHeight="true" ht="22.61904761904762" r="33">
      <c r="A33" s="95" t="s">
        <v>114</v>
      </c>
      <c r="B33" s="96">
        <v>20</v>
      </c>
      <c r="C33" s="97" t="s">
        <v>115</v>
      </c>
      <c r="D33" s="97" t="s">
        <v>116</v>
      </c>
      <c r="E33" s="98" t="s">
        <v>117</v>
      </c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</row>
    <row customHeight="true" ht="22.61904761904762" r="34">
      <c r="A34" s="95" t="s">
        <v>118</v>
      </c>
      <c r="B34" s="96" t="s">
        <v>119</v>
      </c>
      <c r="C34" s="97" t="s">
        <v>120</v>
      </c>
      <c r="D34" s="97" t="s">
        <v>121</v>
      </c>
      <c r="E34" s="98" t="s">
        <v>122</v>
      </c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</row>
    <row customHeight="true" ht="22.61904761904762" r="35">
      <c r="A35" s="95" t="s">
        <v>123</v>
      </c>
      <c r="B35" s="96">
        <v>300</v>
      </c>
      <c r="C35" s="97" t="s">
        <v>124</v>
      </c>
      <c r="D35" s="97" t="s">
        <v>125</v>
      </c>
      <c r="E35" s="98" t="s">
        <v>126</v>
      </c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</row>
    <row customHeight="true" ht="22.61904761904762" r="36">
      <c r="A36" s="95" t="s">
        <v>127</v>
      </c>
      <c r="B36" s="96" t="s">
        <v>128</v>
      </c>
      <c r="C36" s="97" t="s">
        <v>129</v>
      </c>
      <c r="D36" s="97" t="s">
        <v>130</v>
      </c>
      <c r="E36" s="98" t="s">
        <v>131</v>
      </c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</row>
    <row customHeight="true" ht="22.61904761904762" r="37">
      <c r="A37" s="95" t="s">
        <v>132</v>
      </c>
      <c r="B37" s="96" t="s">
        <v>133</v>
      </c>
      <c r="C37" s="97" t="s">
        <v>134</v>
      </c>
      <c r="D37" s="97" t="s">
        <v>135</v>
      </c>
      <c r="E37" s="98" t="s">
        <v>136</v>
      </c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</row>
    <row customHeight="true" ht="22.61904761904762" r="38">
      <c r="A38" s="95" t="s">
        <v>137</v>
      </c>
      <c r="B38" s="96" t="s">
        <v>104</v>
      </c>
      <c r="C38" s="97" t="s">
        <v>138</v>
      </c>
      <c r="D38" s="97" t="s">
        <v>104</v>
      </c>
      <c r="E38" s="98" t="s">
        <v>139</v>
      </c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</row>
    <row customHeight="true" ht="22.61904761904762" r="39">
      <c r="A39" s="95" t="s">
        <v>140</v>
      </c>
      <c r="B39" s="96" t="s">
        <v>141</v>
      </c>
      <c r="C39" s="97" t="s">
        <v>142</v>
      </c>
      <c r="D39" s="97" t="s">
        <v>143</v>
      </c>
      <c r="E39" s="98" t="s">
        <v>144</v>
      </c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</row>
    <row customHeight="true" ht="22.61904761904762" r="40">
      <c r="A40" s="95" t="s">
        <v>145</v>
      </c>
      <c r="B40" s="96" t="s">
        <v>146</v>
      </c>
      <c r="C40" s="97" t="s">
        <v>147</v>
      </c>
      <c r="D40" s="97" t="s">
        <v>148</v>
      </c>
      <c r="E40" s="98" t="s">
        <v>149</v>
      </c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</row>
    <row customHeight="true" ht="22.61904761904762" r="41">
      <c r="A41" s="95" t="s">
        <v>150</v>
      </c>
      <c r="B41" s="96" t="s">
        <v>151</v>
      </c>
      <c r="C41" s="97" t="s">
        <v>152</v>
      </c>
      <c r="D41" s="97" t="s">
        <v>153</v>
      </c>
      <c r="E41" s="98" t="s">
        <v>154</v>
      </c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</row>
    <row customHeight="true" ht="22.61904761904762" r="42">
      <c r="A42" s="95" t="s">
        <v>155</v>
      </c>
      <c r="B42" s="96">
        <v>0.0233</v>
      </c>
      <c r="C42" s="97" t="s">
        <v>156</v>
      </c>
      <c r="D42" s="97" t="s">
        <v>157</v>
      </c>
      <c r="E42" s="98" t="s">
        <v>158</v>
      </c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</row>
    <row customHeight="true" ht="22.61904761904762" r="43">
      <c r="A43" s="95" t="s">
        <v>159</v>
      </c>
      <c r="B43" s="96" t="s">
        <v>160</v>
      </c>
      <c r="C43" s="97" t="s">
        <v>94</v>
      </c>
      <c r="D43" s="97" t="s">
        <v>161</v>
      </c>
      <c r="E43" s="98" t="s">
        <v>162</v>
      </c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</row>
    <row customHeight="true" ht="22.61904761904762" r="44">
      <c r="A44" s="95" t="s">
        <v>163</v>
      </c>
      <c r="B44" s="96" t="s">
        <v>164</v>
      </c>
      <c r="C44" s="97" t="s">
        <v>165</v>
      </c>
      <c r="D44" s="97" t="s">
        <v>166</v>
      </c>
      <c r="E44" s="98" t="s">
        <v>167</v>
      </c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</row>
    <row customHeight="true" ht="22.61904761904762" r="45">
      <c r="A45" s="95" t="s">
        <v>168</v>
      </c>
      <c r="B45" s="99" t="s">
        <v>169</v>
      </c>
      <c r="C45" s="97" t="s">
        <v>170</v>
      </c>
      <c r="D45" s="97" t="s">
        <v>166</v>
      </c>
      <c r="E45" s="98" t="s">
        <v>171</v>
      </c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</row>
    <row customHeight="true" ht="22.61904761904762" r="46">
      <c r="A46" s="95" t="s">
        <v>172</v>
      </c>
      <c r="B46" s="99" t="s">
        <v>173</v>
      </c>
      <c r="C46" s="97" t="s">
        <v>174</v>
      </c>
      <c r="D46" s="97" t="s">
        <v>175</v>
      </c>
      <c r="E46" s="98" t="s">
        <v>176</v>
      </c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</row>
    <row customHeight="true" ht="22.61904761904762" r="47">
      <c r="A47" s="95" t="s">
        <v>177</v>
      </c>
      <c r="B47" s="99" t="s">
        <v>178</v>
      </c>
      <c r="C47" s="97" t="s">
        <v>179</v>
      </c>
      <c r="D47" s="97" t="s">
        <v>180</v>
      </c>
      <c r="E47" s="98" t="s">
        <v>181</v>
      </c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</row>
    <row r="48">
      <c r="A48" s="100" t="s">
        <v>87</v>
      </c>
      <c r="B48" s="100" t="s">
        <v>87</v>
      </c>
      <c r="C48" s="100" t="s">
        <v>87</v>
      </c>
      <c r="D48" s="100" t="s">
        <v>87</v>
      </c>
      <c r="E48" s="100" t="s">
        <v>87</v>
      </c>
      <c r="F48" s="100" t="s">
        <v>87</v>
      </c>
      <c r="G48" s="100" t="s">
        <v>87</v>
      </c>
      <c r="H48" s="100" t="s">
        <v>87</v>
      </c>
      <c r="I48" s="100" t="s">
        <v>87</v>
      </c>
      <c r="J48" s="100" t="s">
        <v>87</v>
      </c>
      <c r="K48" s="100" t="s">
        <v>87</v>
      </c>
      <c r="L48" s="100" t="s">
        <v>87</v>
      </c>
      <c r="M48" s="100" t="s">
        <v>87</v>
      </c>
      <c r="N48" s="100" t="s">
        <v>87</v>
      </c>
      <c r="O48" s="100" t="s">
        <v>87</v>
      </c>
      <c r="P48" s="100" t="s">
        <v>87</v>
      </c>
    </row>
    <row customHeight="true" ht="23.80952380952381" r="49">
      <c r="A49" s="101" t="s">
        <v>182</v>
      </c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</row>
    <row customHeight="true" ht="22.61904761904762" r="50">
      <c r="A50" s="94" t="s">
        <v>183</v>
      </c>
      <c r="B50" s="94" t="s">
        <v>184</v>
      </c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</row>
    <row customHeight="true" ht="30.952380952380953" r="51">
      <c r="A51" s="102" t="s">
        <v>185</v>
      </c>
      <c r="B51" s="98">
        <f>'规则与待确认'!$C$3</f>
      </c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</row>
    <row customHeight="true" ht="30.952380952380953" r="52">
      <c r="A52" s="102" t="s">
        <v>186</v>
      </c>
      <c r="B52" s="98">
        <f>'规则与待确认'!$C$2</f>
      </c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</row>
    <row customHeight="true" ht="30.952380952380953" r="53">
      <c r="A53" s="102" t="s">
        <v>187</v>
      </c>
      <c r="B53" s="98">
        <f>'规则与待确认'!$C$23</f>
      </c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</row>
    <row customHeight="true" ht="30.952380952380953" r="54">
      <c r="A54" s="102" t="s">
        <v>188</v>
      </c>
      <c r="B54" s="98">
        <f>'规则与待确认'!$C$11</f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</row>
    <row customHeight="true" ht="30.952380952380953" r="55">
      <c r="A55" s="102" t="s">
        <v>189</v>
      </c>
      <c r="B55" s="98">
        <f>'规则与待确认'!$C$6</f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</row>
    <row customHeight="true" ht="30.952380952380953" r="56">
      <c r="A56" s="102" t="s">
        <v>190</v>
      </c>
      <c r="B56" s="98">
        <f>'规则与待确认'!$C$8</f>
      </c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</row>
    <row customHeight="true" ht="30.952380952380953" r="57">
      <c r="A57" s="102" t="s">
        <v>191</v>
      </c>
      <c r="B57" s="98">
        <f>'规则与待确认'!$C$5</f>
      </c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</row>
    <row customHeight="true" ht="30.952380952380953" r="58">
      <c r="A58" s="102" t="s">
        <v>192</v>
      </c>
      <c r="B58" s="98">
        <f>'规则与待确认'!$C$18</f>
      </c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</row>
    <row customHeight="true" ht="30.952380952380953" r="59">
      <c r="A59" s="102" t="s">
        <v>193</v>
      </c>
      <c r="B59" s="98">
        <f>'规则与待确认'!$C$15</f>
      </c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</row>
    <row customHeight="true" ht="30.952380952380953" r="60">
      <c r="A60" s="102" t="s">
        <v>194</v>
      </c>
      <c r="B60" s="98">
        <f>'规则与待确认'!$C$13</f>
      </c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</row>
    <row customHeight="true" ht="30.952380952380953" r="61">
      <c r="A61" s="102" t="s">
        <v>195</v>
      </c>
      <c r="B61" s="98">
        <f>'规则与待确认'!$C$24</f>
      </c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</row>
    <row r="62">
      <c r="A62" s="100" t="s">
        <v>87</v>
      </c>
      <c r="B62" s="100" t="s">
        <v>87</v>
      </c>
      <c r="C62" s="100" t="s">
        <v>87</v>
      </c>
      <c r="D62" s="100" t="s">
        <v>87</v>
      </c>
      <c r="E62" s="100" t="s">
        <v>87</v>
      </c>
      <c r="F62" s="100" t="s">
        <v>87</v>
      </c>
      <c r="G62" s="100" t="s">
        <v>87</v>
      </c>
      <c r="H62" s="100" t="s">
        <v>87</v>
      </c>
      <c r="I62" s="100" t="s">
        <v>87</v>
      </c>
      <c r="J62" s="100" t="s">
        <v>87</v>
      </c>
      <c r="K62" s="100" t="s">
        <v>87</v>
      </c>
      <c r="L62" s="100" t="s">
        <v>87</v>
      </c>
      <c r="M62" s="100" t="s">
        <v>87</v>
      </c>
      <c r="N62" s="100" t="s">
        <v>87</v>
      </c>
      <c r="O62" s="100" t="s">
        <v>87</v>
      </c>
      <c r="P62" s="100" t="s">
        <v>87</v>
      </c>
    </row>
    <row r="63">
      <c r="A63" s="103" t="s">
        <v>196</v>
      </c>
      <c r="B63" s="103" t="s">
        <v>87</v>
      </c>
      <c r="C63" s="103" t="s">
        <v>87</v>
      </c>
      <c r="D63" s="103" t="s">
        <v>87</v>
      </c>
      <c r="E63" s="103" t="s">
        <v>87</v>
      </c>
      <c r="F63" s="103" t="s">
        <v>87</v>
      </c>
      <c r="G63" s="103" t="s">
        <v>87</v>
      </c>
      <c r="H63" s="103" t="s">
        <v>87</v>
      </c>
      <c r="I63" s="103" t="s">
        <v>87</v>
      </c>
      <c r="J63" s="103" t="s">
        <v>87</v>
      </c>
      <c r="K63" s="103" t="s">
        <v>87</v>
      </c>
      <c r="L63" s="103" t="s">
        <v>87</v>
      </c>
      <c r="M63" s="103" t="s">
        <v>87</v>
      </c>
      <c r="N63" s="103" t="s">
        <v>87</v>
      </c>
      <c r="O63" s="103" t="s">
        <v>87</v>
      </c>
      <c r="P63" s="103" t="s">
        <v>87</v>
      </c>
    </row>
    <row r="64">
      <c r="A64" s="103" t="s">
        <v>74</v>
      </c>
      <c r="B64" s="103" t="s">
        <v>43</v>
      </c>
      <c r="C64" s="103" t="s">
        <v>197</v>
      </c>
      <c r="D64" s="103" t="s">
        <v>49</v>
      </c>
      <c r="E64" s="103" t="s">
        <v>51</v>
      </c>
      <c r="F64" s="103" t="s">
        <v>54</v>
      </c>
      <c r="G64" s="103" t="s">
        <v>53</v>
      </c>
      <c r="H64" s="103" t="s">
        <v>50</v>
      </c>
      <c r="I64" s="103" t="s">
        <v>52</v>
      </c>
      <c r="J64" s="103" t="s">
        <v>191</v>
      </c>
      <c r="K64" s="103" t="s">
        <v>198</v>
      </c>
      <c r="L64" s="103" t="s">
        <v>199</v>
      </c>
      <c r="M64" s="103" t="s">
        <v>152</v>
      </c>
      <c r="N64" s="103" t="s">
        <v>200</v>
      </c>
      <c r="O64" s="103" t="s">
        <v>170</v>
      </c>
      <c r="P64" s="103" t="s">
        <v>87</v>
      </c>
    </row>
    <row customHeight="true" ht="34.523809523809526" r="65">
      <c r="A65" s="103">
        <f>$A$6</f>
      </c>
      <c r="B65" s="103">
        <f>$B$6</f>
      </c>
      <c r="C65" s="104">
        <f>$D$6</f>
      </c>
      <c r="D65" s="105">
        <f>$H$6</f>
      </c>
      <c r="E65" s="105">
        <f>$J$6</f>
      </c>
      <c r="F65" s="105">
        <f>$M$6</f>
      </c>
      <c r="G65" s="105">
        <f>$L$6</f>
      </c>
      <c r="H65" s="105">
        <f>$I$6</f>
      </c>
      <c r="I65" s="105">
        <f>$K$6</f>
      </c>
      <c r="J65" s="103" t="s">
        <v>104</v>
      </c>
      <c r="K65" s="103" t="s">
        <v>201</v>
      </c>
      <c r="L65" s="103" t="s">
        <v>202</v>
      </c>
      <c r="M65" s="103" t="s">
        <v>203</v>
      </c>
      <c r="N65" s="103" t="s">
        <v>101</v>
      </c>
      <c r="O65" s="103" t="s">
        <v>204</v>
      </c>
      <c r="P65" s="103" t="s">
        <v>87</v>
      </c>
    </row>
    <row customHeight="true" ht="34.523809523809526" r="66">
      <c r="A66" s="103">
        <f>$A$7</f>
      </c>
      <c r="B66" s="103">
        <f>$B$7</f>
      </c>
      <c r="C66" s="104">
        <f>$D$7</f>
      </c>
      <c r="D66" s="105">
        <f>$H$7</f>
      </c>
      <c r="E66" s="105">
        <f>$J$7</f>
      </c>
      <c r="F66" s="105">
        <f>$M$7</f>
      </c>
      <c r="G66" s="105">
        <f>$L$7</f>
      </c>
      <c r="H66" s="105">
        <f>$I$7</f>
      </c>
      <c r="I66" s="105">
        <f>$K$7</f>
      </c>
      <c r="J66" s="103" t="s">
        <v>104</v>
      </c>
      <c r="K66" s="103" t="s">
        <v>201</v>
      </c>
      <c r="L66" s="103" t="s">
        <v>202</v>
      </c>
      <c r="M66" s="103" t="s">
        <v>203</v>
      </c>
      <c r="N66" s="103" t="s">
        <v>101</v>
      </c>
      <c r="O66" s="103" t="s">
        <v>204</v>
      </c>
      <c r="P66" s="103" t="s">
        <v>87</v>
      </c>
    </row>
    <row customHeight="true" ht="34.523809523809526" r="67">
      <c r="A67" s="103">
        <f>$A$8</f>
      </c>
      <c r="B67" s="103">
        <f>$B$8</f>
      </c>
      <c r="C67" s="104">
        <f>$D$8</f>
      </c>
      <c r="D67" s="105">
        <f>$H$8</f>
      </c>
      <c r="E67" s="105">
        <f>$J$8</f>
      </c>
      <c r="F67" s="105">
        <f>$M$8</f>
      </c>
      <c r="G67" s="105">
        <f>$L$8</f>
      </c>
      <c r="H67" s="105">
        <f>$I$8</f>
      </c>
      <c r="I67" s="105">
        <f>$K$8</f>
      </c>
      <c r="J67" s="103" t="s">
        <v>104</v>
      </c>
      <c r="K67" s="103" t="s">
        <v>201</v>
      </c>
      <c r="L67" s="103" t="s">
        <v>202</v>
      </c>
      <c r="M67" s="103" t="s">
        <v>203</v>
      </c>
      <c r="N67" s="103" t="s">
        <v>101</v>
      </c>
      <c r="O67" s="103" t="s">
        <v>204</v>
      </c>
      <c r="P67" s="103" t="s">
        <v>87</v>
      </c>
    </row>
    <row customHeight="true" ht="34.523809523809526" r="68">
      <c r="A68" s="103">
        <f>$A$9</f>
      </c>
      <c r="B68" s="103">
        <f>$B$9</f>
      </c>
      <c r="C68" s="104">
        <f>$D$9</f>
      </c>
      <c r="D68" s="105">
        <f>$H$9</f>
      </c>
      <c r="E68" s="105">
        <f>$J$9</f>
      </c>
      <c r="F68" s="105">
        <f>$M$9</f>
      </c>
      <c r="G68" s="105">
        <f>$L$9</f>
      </c>
      <c r="H68" s="105">
        <f>$I$9</f>
      </c>
      <c r="I68" s="105">
        <f>$K$9</f>
      </c>
      <c r="J68" s="103" t="s">
        <v>104</v>
      </c>
      <c r="K68" s="103" t="s">
        <v>201</v>
      </c>
      <c r="L68" s="103" t="s">
        <v>202</v>
      </c>
      <c r="M68" s="103" t="s">
        <v>203</v>
      </c>
      <c r="N68" s="103" t="s">
        <v>101</v>
      </c>
      <c r="O68" s="103" t="s">
        <v>204</v>
      </c>
      <c r="P68" s="103" t="s">
        <v>87</v>
      </c>
    </row>
    <row customHeight="true" ht="34.523809523809526" r="69">
      <c r="A69" s="103">
        <f>$A$10</f>
      </c>
      <c r="B69" s="103">
        <f>$B$10</f>
      </c>
      <c r="C69" s="104">
        <f>$D$10</f>
      </c>
      <c r="D69" s="105">
        <f>$H$10</f>
      </c>
      <c r="E69" s="105">
        <f>$J$10</f>
      </c>
      <c r="F69" s="105">
        <f>$M$10</f>
      </c>
      <c r="G69" s="105">
        <f>$L$10</f>
      </c>
      <c r="H69" s="105">
        <f>$I$10</f>
      </c>
      <c r="I69" s="105">
        <f>$K$10</f>
      </c>
      <c r="J69" s="103" t="s">
        <v>104</v>
      </c>
      <c r="K69" s="103" t="s">
        <v>201</v>
      </c>
      <c r="L69" s="103" t="s">
        <v>202</v>
      </c>
      <c r="M69" s="103" t="s">
        <v>203</v>
      </c>
      <c r="N69" s="103" t="s">
        <v>101</v>
      </c>
      <c r="O69" s="103" t="s">
        <v>204</v>
      </c>
      <c r="P69" s="103" t="s">
        <v>87</v>
      </c>
    </row>
    <row customHeight="true" ht="34.523809523809526" r="70">
      <c r="A70" s="103">
        <f>$A$11</f>
      </c>
      <c r="B70" s="103">
        <f>$B$11</f>
      </c>
      <c r="C70" s="104">
        <f>$D$11</f>
      </c>
      <c r="D70" s="105">
        <f>$H$11</f>
      </c>
      <c r="E70" s="105">
        <f>$J$11</f>
      </c>
      <c r="F70" s="105">
        <f>$M$11</f>
      </c>
      <c r="G70" s="105">
        <f>$L$11</f>
      </c>
      <c r="H70" s="105">
        <f>$I$11</f>
      </c>
      <c r="I70" s="105">
        <f>$K$11</f>
      </c>
      <c r="J70" s="103" t="s">
        <v>104</v>
      </c>
      <c r="K70" s="103" t="s">
        <v>201</v>
      </c>
      <c r="L70" s="103" t="s">
        <v>202</v>
      </c>
      <c r="M70" s="103" t="s">
        <v>203</v>
      </c>
      <c r="N70" s="103" t="s">
        <v>101</v>
      </c>
      <c r="O70" s="103" t="s">
        <v>204</v>
      </c>
      <c r="P70" s="103" t="s">
        <v>87</v>
      </c>
    </row>
    <row customHeight="true" ht="34.523809523809526" r="71">
      <c r="A71" s="103">
        <f>$A$12</f>
      </c>
      <c r="B71" s="103">
        <f>$B$12</f>
      </c>
      <c r="C71" s="104">
        <f>$D$12</f>
      </c>
      <c r="D71" s="105">
        <f>$H$12</f>
      </c>
      <c r="E71" s="105">
        <f>$J$12</f>
      </c>
      <c r="F71" s="105">
        <f>$M$12</f>
      </c>
      <c r="G71" s="105">
        <f>$L$12</f>
      </c>
      <c r="H71" s="105">
        <f>$I$12</f>
      </c>
      <c r="I71" s="105">
        <f>$K$12</f>
      </c>
      <c r="J71" s="103" t="s">
        <v>104</v>
      </c>
      <c r="K71" s="103" t="s">
        <v>201</v>
      </c>
      <c r="L71" s="103" t="s">
        <v>202</v>
      </c>
      <c r="M71" s="103" t="s">
        <v>203</v>
      </c>
      <c r="N71" s="103" t="s">
        <v>101</v>
      </c>
      <c r="O71" s="103" t="s">
        <v>204</v>
      </c>
      <c r="P71" s="103" t="s">
        <v>87</v>
      </c>
    </row>
    <row customHeight="true" ht="34.523809523809526" r="72">
      <c r="A72" s="103">
        <f>$A$13</f>
      </c>
      <c r="B72" s="103">
        <f>$B$13</f>
      </c>
      <c r="C72" s="104">
        <f>$D$13</f>
      </c>
      <c r="D72" s="105">
        <f>$H$13</f>
      </c>
      <c r="E72" s="105">
        <f>$J$13</f>
      </c>
      <c r="F72" s="105">
        <f>$M$13</f>
      </c>
      <c r="G72" s="105">
        <f>$L$13</f>
      </c>
      <c r="H72" s="105">
        <f>$I$13</f>
      </c>
      <c r="I72" s="105">
        <f>$K$13</f>
      </c>
      <c r="J72" s="103" t="s">
        <v>104</v>
      </c>
      <c r="K72" s="103" t="s">
        <v>201</v>
      </c>
      <c r="L72" s="103" t="s">
        <v>202</v>
      </c>
      <c r="M72" s="103" t="s">
        <v>203</v>
      </c>
      <c r="N72" s="103" t="s">
        <v>101</v>
      </c>
      <c r="O72" s="103" t="s">
        <v>204</v>
      </c>
      <c r="P72" s="103" t="s">
        <v>87</v>
      </c>
    </row>
    <row r="73">
      <c r="A73" s="103" t="s">
        <v>87</v>
      </c>
      <c r="B73" s="103" t="s">
        <v>87</v>
      </c>
      <c r="C73" s="103" t="s">
        <v>87</v>
      </c>
      <c r="D73" s="103" t="s">
        <v>87</v>
      </c>
      <c r="E73" s="103" t="s">
        <v>87</v>
      </c>
      <c r="F73" s="103" t="s">
        <v>87</v>
      </c>
      <c r="G73" s="103" t="s">
        <v>87</v>
      </c>
      <c r="H73" s="103" t="s">
        <v>87</v>
      </c>
      <c r="I73" s="103" t="s">
        <v>87</v>
      </c>
      <c r="J73" s="103" t="s">
        <v>87</v>
      </c>
      <c r="K73" s="103" t="s">
        <v>87</v>
      </c>
      <c r="L73" s="103" t="s">
        <v>87</v>
      </c>
      <c r="M73" s="103" t="s">
        <v>87</v>
      </c>
      <c r="N73" s="103" t="s">
        <v>87</v>
      </c>
      <c r="O73" s="103" t="s">
        <v>87</v>
      </c>
      <c r="P73" s="103" t="s">
        <v>87</v>
      </c>
    </row>
    <row r="74">
      <c r="A74" s="103" t="s">
        <v>205</v>
      </c>
      <c r="B74" s="103" t="s">
        <v>87</v>
      </c>
      <c r="C74" s="103" t="s">
        <v>87</v>
      </c>
      <c r="D74" s="103" t="s">
        <v>87</v>
      </c>
      <c r="E74" s="103" t="s">
        <v>87</v>
      </c>
      <c r="F74" s="103" t="s">
        <v>87</v>
      </c>
      <c r="G74" s="103" t="s">
        <v>87</v>
      </c>
      <c r="H74" s="103" t="s">
        <v>87</v>
      </c>
      <c r="I74" s="103" t="s">
        <v>87</v>
      </c>
      <c r="J74" s="103" t="s">
        <v>87</v>
      </c>
      <c r="K74" s="103" t="s">
        <v>87</v>
      </c>
      <c r="L74" s="103" t="s">
        <v>87</v>
      </c>
      <c r="M74" s="103" t="s">
        <v>87</v>
      </c>
      <c r="N74" s="103" t="s">
        <v>87</v>
      </c>
      <c r="O74" s="103" t="s">
        <v>87</v>
      </c>
      <c r="P74" s="103" t="s">
        <v>87</v>
      </c>
    </row>
    <row r="75">
      <c r="A75" s="103" t="s">
        <v>206</v>
      </c>
      <c r="B75" s="103" t="s">
        <v>87</v>
      </c>
      <c r="C75" s="103" t="s">
        <v>87</v>
      </c>
      <c r="D75" s="103" t="s">
        <v>87</v>
      </c>
      <c r="E75" s="103" t="s">
        <v>87</v>
      </c>
      <c r="F75" s="103" t="s">
        <v>87</v>
      </c>
      <c r="G75" s="103" t="s">
        <v>87</v>
      </c>
      <c r="H75" s="103" t="s">
        <v>87</v>
      </c>
      <c r="I75" s="103" t="s">
        <v>87</v>
      </c>
      <c r="J75" s="103" t="s">
        <v>87</v>
      </c>
      <c r="K75" s="103" t="s">
        <v>87</v>
      </c>
      <c r="L75" s="103" t="s">
        <v>87</v>
      </c>
      <c r="M75" s="103" t="s">
        <v>87</v>
      </c>
      <c r="N75" s="103" t="s">
        <v>87</v>
      </c>
      <c r="O75" s="103" t="s">
        <v>87</v>
      </c>
      <c r="P75" s="103" t="s">
        <v>87</v>
      </c>
    </row>
    <row r="76">
      <c r="A76" s="103" t="s">
        <v>207</v>
      </c>
      <c r="B76" s="103" t="s">
        <v>208</v>
      </c>
      <c r="C76" s="103" t="s">
        <v>209</v>
      </c>
      <c r="D76" s="103" t="s">
        <v>55</v>
      </c>
      <c r="E76" s="103" t="s">
        <v>210</v>
      </c>
      <c r="F76" s="103" t="s">
        <v>211</v>
      </c>
      <c r="G76" s="103" t="s">
        <v>212</v>
      </c>
      <c r="H76" s="103" t="s">
        <v>87</v>
      </c>
      <c r="I76" s="103" t="s">
        <v>87</v>
      </c>
      <c r="J76" s="103" t="s">
        <v>87</v>
      </c>
      <c r="K76" s="103" t="s">
        <v>87</v>
      </c>
      <c r="L76" s="103" t="s">
        <v>87</v>
      </c>
      <c r="M76" s="103" t="s">
        <v>87</v>
      </c>
      <c r="N76" s="103" t="s">
        <v>87</v>
      </c>
      <c r="O76" s="103" t="s">
        <v>87</v>
      </c>
      <c r="P76" s="103" t="s">
        <v>87</v>
      </c>
    </row>
    <row r="77">
      <c r="A77" s="103" t="s">
        <v>103</v>
      </c>
      <c r="B77" s="103" t="s">
        <v>213</v>
      </c>
      <c r="C77" s="103" t="s">
        <v>214</v>
      </c>
      <c r="D77" s="103" t="s">
        <v>104</v>
      </c>
      <c r="E77" s="103" t="s">
        <v>215</v>
      </c>
      <c r="F77" s="103" t="s">
        <v>216</v>
      </c>
      <c r="G77" s="103" t="s">
        <v>217</v>
      </c>
      <c r="H77" s="103" t="s">
        <v>87</v>
      </c>
      <c r="I77" s="103" t="s">
        <v>87</v>
      </c>
      <c r="J77" s="103" t="s">
        <v>87</v>
      </c>
      <c r="K77" s="103" t="s">
        <v>87</v>
      </c>
      <c r="L77" s="103" t="s">
        <v>87</v>
      </c>
      <c r="M77" s="103" t="s">
        <v>87</v>
      </c>
      <c r="N77" s="103" t="s">
        <v>87</v>
      </c>
      <c r="O77" s="103" t="s">
        <v>87</v>
      </c>
      <c r="P77" s="103" t="s">
        <v>87</v>
      </c>
    </row>
    <row r="78">
      <c r="A78" s="103" t="s">
        <v>218</v>
      </c>
      <c r="B78" s="103" t="s">
        <v>219</v>
      </c>
      <c r="C78" s="103" t="s">
        <v>220</v>
      </c>
      <c r="D78" s="103" t="s">
        <v>104</v>
      </c>
      <c r="E78" s="103" t="s">
        <v>221</v>
      </c>
      <c r="F78" s="103" t="s">
        <v>222</v>
      </c>
      <c r="G78" s="103" t="s">
        <v>223</v>
      </c>
      <c r="H78" s="103" t="s">
        <v>87</v>
      </c>
      <c r="I78" s="103" t="s">
        <v>87</v>
      </c>
      <c r="J78" s="103" t="s">
        <v>87</v>
      </c>
      <c r="K78" s="103" t="s">
        <v>87</v>
      </c>
      <c r="L78" s="103" t="s">
        <v>87</v>
      </c>
      <c r="M78" s="103" t="s">
        <v>87</v>
      </c>
      <c r="N78" s="103" t="s">
        <v>87</v>
      </c>
      <c r="O78" s="103" t="s">
        <v>87</v>
      </c>
      <c r="P78" s="103" t="s">
        <v>87</v>
      </c>
    </row>
    <row r="79">
      <c r="A79" s="103" t="s">
        <v>224</v>
      </c>
      <c r="B79" s="103" t="s">
        <v>225</v>
      </c>
      <c r="C79" s="103" t="s">
        <v>226</v>
      </c>
      <c r="D79" s="103" t="s">
        <v>104</v>
      </c>
      <c r="E79" s="103" t="s">
        <v>215</v>
      </c>
      <c r="F79" s="103" t="s">
        <v>227</v>
      </c>
      <c r="G79" s="103" t="s">
        <v>228</v>
      </c>
      <c r="H79" s="103" t="s">
        <v>87</v>
      </c>
      <c r="I79" s="103" t="s">
        <v>87</v>
      </c>
      <c r="J79" s="103" t="s">
        <v>87</v>
      </c>
      <c r="K79" s="103" t="s">
        <v>87</v>
      </c>
      <c r="L79" s="103" t="s">
        <v>87</v>
      </c>
      <c r="M79" s="103" t="s">
        <v>87</v>
      </c>
      <c r="N79" s="103" t="s">
        <v>87</v>
      </c>
      <c r="O79" s="103" t="s">
        <v>87</v>
      </c>
      <c r="P79" s="103" t="s">
        <v>87</v>
      </c>
    </row>
  </sheetData>
  <mergeCells>
    <mergeCell ref="A1:P1"/>
    <mergeCell ref="A2:P2"/>
    <mergeCell ref="A3:P3"/>
    <mergeCell ref="A14:P14"/>
    <mergeCell ref="A23:P23"/>
    <mergeCell ref="A25:P25"/>
    <mergeCell ref="E26:P26"/>
    <mergeCell ref="E27:P27"/>
    <mergeCell ref="E28:P28"/>
    <mergeCell ref="E29:P29"/>
    <mergeCell ref="E30:P30"/>
    <mergeCell ref="E31:P31"/>
    <mergeCell ref="E32:P32"/>
    <mergeCell ref="E33:P33"/>
    <mergeCell ref="E34:P34"/>
    <mergeCell ref="E35:P35"/>
    <mergeCell ref="E36:P36"/>
    <mergeCell ref="E37:P37"/>
    <mergeCell ref="E38:P38"/>
    <mergeCell ref="E39:P39"/>
    <mergeCell ref="B61:P61"/>
    <mergeCell ref="B60:P60"/>
    <mergeCell ref="B59:P59"/>
    <mergeCell ref="B58:P58"/>
    <mergeCell ref="B57:P57"/>
    <mergeCell ref="B56:P56"/>
    <mergeCell ref="B55:P55"/>
    <mergeCell ref="B54:P54"/>
    <mergeCell ref="B53:P53"/>
    <mergeCell ref="B52:P52"/>
    <mergeCell ref="B51:P51"/>
    <mergeCell ref="B50:P50"/>
    <mergeCell ref="A49:P49"/>
    <mergeCell ref="E47:P47"/>
    <mergeCell ref="E46:P46"/>
    <mergeCell ref="E45:P45"/>
    <mergeCell ref="E44:P44"/>
    <mergeCell ref="E43:P43"/>
    <mergeCell ref="E42:P42"/>
    <mergeCell ref="E40:P40"/>
    <mergeCell ref="E41:P41"/>
  </mergeCell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2" xSplit="3" ySplit="1"/>
    </sheetView>
  </sheetViews>
  <sheetFormatPr defaultRowHeight="0"/>
  <cols>
    <col collapsed="false" customWidth="true" hidden="false" max="5" min="5" style="0" width="14.028169014084508"/>
    <col collapsed="false" customWidth="true" hidden="false" max="7" min="7" style="0" width="14.028169014084508"/>
    <col collapsed="false" customWidth="true" hidden="false" max="9" min="9" style="0" width="14.028169014084508"/>
    <col collapsed="false" customWidth="true" hidden="false" max="11" min="11" style="0" width="46.70422535211268"/>
    <col collapsed="false" customWidth="true" hidden="false" max="1" min="1" style="0" width="14.591549295774648"/>
    <col collapsed="false" customWidth="true" hidden="false" max="3" min="3" style="0" width="8.95774647887324"/>
    <col collapsed="false" customWidth="true" hidden="false" max="6" min="6" style="0" width="14.028169014084508"/>
    <col collapsed="false" customWidth="true" hidden="false" max="8" min="8" style="0" width="14.028169014084508"/>
    <col collapsed="false" customWidth="true" hidden="false" max="10" min="10" style="0" width="14.028169014084508"/>
    <col collapsed="false" customWidth="true" hidden="false" max="2" min="2" style="0" width="8.95774647887324"/>
    <col collapsed="false" customWidth="true" hidden="false" max="4" min="4" style="0" width="14.028169014084508"/>
  </cols>
  <sheetData>
    <row customHeight="true" ht="30.952380952380953" r="1">
      <c r="A1" s="106" t="s">
        <v>229</v>
      </c>
      <c r="B1" s="106" t="s">
        <v>230</v>
      </c>
      <c r="C1" s="106" t="s">
        <v>231</v>
      </c>
      <c r="D1" s="106" t="s">
        <v>232</v>
      </c>
      <c r="E1" s="106" t="s">
        <v>233</v>
      </c>
      <c r="F1" s="106" t="s">
        <v>234</v>
      </c>
      <c r="G1" s="106" t="s">
        <v>235</v>
      </c>
      <c r="H1" s="106" t="s">
        <v>236</v>
      </c>
      <c r="I1" s="106" t="s">
        <v>237</v>
      </c>
      <c r="J1" s="106" t="s">
        <v>238</v>
      </c>
      <c r="K1" s="106" t="s">
        <v>239</v>
      </c>
    </row>
    <row r="2">
      <c r="A2" s="107" t="s">
        <v>240</v>
      </c>
      <c r="B2" s="107">
        <f>'定价推演 （最终）'!$F$3</f>
      </c>
      <c r="C2" s="108">
        <f>'定价推演 （最终）'!$C$3</f>
      </c>
      <c r="D2" s="109">
        <f>'定价推演 （最终）'!$D$3</f>
      </c>
      <c r="E2" s="109">
        <f>'定价推演 （最终）'!$C$4</f>
      </c>
      <c r="F2" s="109">
        <f>'定价推演 （最终）'!$D$4</f>
      </c>
      <c r="G2" s="109">
        <f>'定价推演 （最终）'!$C$5</f>
      </c>
      <c r="H2" s="109">
        <f>'定价推演 （最终）'!$D$5</f>
      </c>
      <c r="I2" s="109">
        <f>$H$2/12</f>
      </c>
      <c r="J2" s="110" t="s">
        <v>241</v>
      </c>
      <c r="K2" s="111" t="s">
        <v>242</v>
      </c>
    </row>
    <row r="3">
      <c r="A3" s="107" t="s">
        <v>243</v>
      </c>
      <c r="B3" s="107">
        <f>'定价推演 （最终）'!$F$6</f>
      </c>
      <c r="C3" s="108">
        <f>'定价推演 （最终）'!$C$6</f>
      </c>
      <c r="D3" s="109">
        <f>'定价推演 （最终）'!$D$6</f>
      </c>
      <c r="E3" s="109">
        <f>'定价推演 （最终）'!$C$7</f>
      </c>
      <c r="F3" s="109">
        <f>'定价推演 （最终）'!$D$7</f>
      </c>
      <c r="G3" s="109">
        <f>'定价推演 （最终）'!$C$8</f>
      </c>
      <c r="H3" s="109">
        <f>'定价推演 （最终）'!$D$8</f>
      </c>
      <c r="I3" s="109">
        <f>$H$3/12</f>
      </c>
      <c r="J3" s="110" t="s">
        <v>241</v>
      </c>
      <c r="K3" s="111" t="s">
        <v>242</v>
      </c>
    </row>
    <row r="4">
      <c r="A4" s="112" t="s">
        <v>244</v>
      </c>
      <c r="B4" s="112">
        <f>'定价推演 （最终）'!$F$9</f>
      </c>
      <c r="C4" s="113">
        <f>'定价推演 （最终）'!$C$9</f>
      </c>
      <c r="D4" s="114">
        <f>'定价推演 （最终）'!$D$9</f>
      </c>
      <c r="E4" s="114">
        <f>'定价推演 （最终）'!$C$10</f>
      </c>
      <c r="F4" s="114">
        <f>'定价推演 （最终）'!$D$10</f>
      </c>
      <c r="G4" s="114">
        <f>'定价推演 （最终）'!$C$11</f>
      </c>
      <c r="H4" s="114">
        <f>'定价推演 （最终）'!$D$11</f>
      </c>
      <c r="I4" s="114">
        <f>$H$4/12</f>
      </c>
      <c r="J4" s="115" t="s">
        <v>241</v>
      </c>
      <c r="K4" s="116" t="s">
        <v>242</v>
      </c>
    </row>
    <row r="5">
      <c r="A5" s="112" t="s">
        <v>245</v>
      </c>
      <c r="B5" s="112">
        <f>'定价推演 （最终）'!$F$12</f>
      </c>
      <c r="C5" s="113">
        <f>'定价推演 （最终）'!$C$12</f>
      </c>
      <c r="D5" s="114">
        <f>'定价推演 （最终）'!$D$12</f>
      </c>
      <c r="E5" s="114">
        <f>'定价推演 （最终）'!$C$13</f>
      </c>
      <c r="F5" s="114">
        <f>'定价推演 （最终）'!$D$13</f>
      </c>
      <c r="G5" s="114">
        <f>'定价推演 （最终）'!$C$14</f>
      </c>
      <c r="H5" s="114">
        <f>'定价推演 （最终）'!$D$14</f>
      </c>
      <c r="I5" s="114">
        <f>$H$5/12</f>
      </c>
      <c r="J5" s="115" t="s">
        <v>241</v>
      </c>
      <c r="K5" s="116" t="s">
        <v>242</v>
      </c>
    </row>
    <row r="6">
      <c r="A6" s="117" t="s">
        <v>246</v>
      </c>
      <c r="B6" s="117">
        <f>'定价推演 （最终）'!$F$15</f>
      </c>
      <c r="C6" s="118">
        <f>'定价推演 （最终）'!$C$15</f>
      </c>
      <c r="D6" s="119">
        <f>'定价推演 （最终）'!$D$15</f>
      </c>
      <c r="E6" s="119">
        <f>'定价推演 （最终）'!$C$16</f>
      </c>
      <c r="F6" s="119">
        <f>'定价推演 （最终）'!$D$16</f>
      </c>
      <c r="G6" s="119">
        <f>'定价推演 （最终）'!$C$17</f>
      </c>
      <c r="H6" s="119">
        <f>'定价推演 （最终）'!$D$17</f>
      </c>
      <c r="I6" s="119">
        <f>$H$6/12</f>
      </c>
      <c r="J6" s="120" t="s">
        <v>241</v>
      </c>
      <c r="K6" s="121" t="s">
        <v>242</v>
      </c>
    </row>
    <row r="7">
      <c r="A7" s="117" t="s">
        <v>247</v>
      </c>
      <c r="B7" s="117">
        <f>'定价推演 （最终）'!$F$18</f>
      </c>
      <c r="C7" s="118">
        <f>'定价推演 （最终）'!$C$18</f>
      </c>
      <c r="D7" s="119">
        <f>'定价推演 （最终）'!$D$18</f>
      </c>
      <c r="E7" s="119">
        <f>'定价推演 （最终）'!$C$19</f>
      </c>
      <c r="F7" s="119">
        <f>'定价推演 （最终）'!$D$19</f>
      </c>
      <c r="G7" s="119">
        <f>'定价推演 （最终）'!$C$20</f>
      </c>
      <c r="H7" s="119">
        <f>'定价推演 （最终）'!$D$20</f>
      </c>
      <c r="I7" s="119">
        <f>$H$7/12</f>
      </c>
      <c r="J7" s="120" t="s">
        <v>241</v>
      </c>
      <c r="K7" s="121" t="s">
        <v>242</v>
      </c>
    </row>
    <row r="8">
      <c r="A8" s="122" t="s">
        <v>248</v>
      </c>
      <c r="B8" s="122">
        <f>'定价推演 （最终）'!$F$21</f>
      </c>
      <c r="C8" s="123">
        <f>'定价推演 （最终）'!$C$21</f>
      </c>
      <c r="D8" s="124">
        <f>'定价推演 （最终）'!$D$21</f>
      </c>
      <c r="E8" s="124">
        <f>'定价推演 （最终）'!$C$22</f>
      </c>
      <c r="F8" s="124">
        <f>'定价推演 （最终）'!$D$22</f>
      </c>
      <c r="G8" s="124">
        <f>'定价推演 （最终）'!$C$23</f>
      </c>
      <c r="H8" s="124">
        <f>'定价推演 （最终）'!$D$23</f>
      </c>
      <c r="I8" s="124">
        <f>$H$8/12</f>
      </c>
      <c r="J8" s="125" t="s">
        <v>241</v>
      </c>
      <c r="K8" s="126" t="s">
        <v>242</v>
      </c>
    </row>
    <row r="9">
      <c r="A9" s="122" t="s">
        <v>249</v>
      </c>
      <c r="B9" s="122">
        <f>'定价推演 （最终）'!$F$24</f>
      </c>
      <c r="C9" s="123">
        <f>'定价推演 （最终）'!$C$24</f>
      </c>
      <c r="D9" s="124">
        <f>'定价推演 （最终）'!$D$24</f>
      </c>
      <c r="E9" s="124">
        <f>'定价推演 （最终）'!$C$25</f>
      </c>
      <c r="F9" s="124">
        <f>'定价推演 （最终）'!$D$25</f>
      </c>
      <c r="G9" s="124">
        <f>'定价推演 （最终）'!$C$26</f>
      </c>
      <c r="H9" s="124">
        <f>'定价推演 （最终）'!$D$26</f>
      </c>
      <c r="I9" s="124">
        <f>$H$9/12</f>
      </c>
      <c r="J9" s="125" t="s">
        <v>241</v>
      </c>
      <c r="K9" s="126" t="s">
        <v>242</v>
      </c>
    </row>
    <row r="10">
      <c r="A10" s="127" t="s">
        <v>250</v>
      </c>
      <c r="B10" s="127" t="s">
        <v>251</v>
      </c>
      <c r="C10" s="127" t="s">
        <v>251</v>
      </c>
      <c r="D10" s="127" t="s">
        <v>251</v>
      </c>
      <c r="E10" s="127" t="s">
        <v>251</v>
      </c>
      <c r="F10" s="127" t="s">
        <v>251</v>
      </c>
      <c r="G10" s="127" t="s">
        <v>251</v>
      </c>
      <c r="H10" s="127" t="s">
        <v>251</v>
      </c>
      <c r="I10" s="127" t="s">
        <v>251</v>
      </c>
      <c r="J10" s="127" t="s">
        <v>252</v>
      </c>
      <c r="K10" s="127" t="s">
        <v>253</v>
      </c>
    </row>
    <row r="11">
      <c r="A11" s="127" t="s">
        <v>254</v>
      </c>
      <c r="B11" s="127" t="s">
        <v>251</v>
      </c>
      <c r="C11" s="127" t="s">
        <v>251</v>
      </c>
      <c r="D11" s="127" t="s">
        <v>251</v>
      </c>
      <c r="E11" s="127" t="s">
        <v>251</v>
      </c>
      <c r="F11" s="127" t="s">
        <v>251</v>
      </c>
      <c r="G11" s="127" t="s">
        <v>251</v>
      </c>
      <c r="H11" s="127" t="s">
        <v>251</v>
      </c>
      <c r="I11" s="127" t="s">
        <v>251</v>
      </c>
      <c r="J11" s="127" t="s">
        <v>252</v>
      </c>
      <c r="K11" s="127" t="s">
        <v>255</v>
      </c>
    </row>
    <row r="12">
      <c r="A12" s="127" t="s">
        <v>256</v>
      </c>
      <c r="B12" s="127" t="s">
        <v>251</v>
      </c>
      <c r="C12" s="127" t="s">
        <v>251</v>
      </c>
      <c r="D12" s="127" t="s">
        <v>251</v>
      </c>
      <c r="E12" s="127" t="s">
        <v>251</v>
      </c>
      <c r="F12" s="127" t="s">
        <v>251</v>
      </c>
      <c r="G12" s="127" t="s">
        <v>251</v>
      </c>
      <c r="H12" s="127" t="s">
        <v>251</v>
      </c>
      <c r="I12" s="127" t="s">
        <v>251</v>
      </c>
      <c r="J12" s="127" t="s">
        <v>257</v>
      </c>
      <c r="K12" s="127" t="s">
        <v>258</v>
      </c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RowHeight="0"/>
  <cols>
    <col collapsed="false" customWidth="true" hidden="false" max="3" min="3" style="0" width="12.338028169014084"/>
    <col collapsed="false" customWidth="true" hidden="false" max="7" min="7" style="0" width="15.154929577464788"/>
    <col collapsed="false" customWidth="true" hidden="false" max="11" min="11" style="0" width="29.562099871958964"/>
    <col collapsed="false" customWidth="true" hidden="false" max="15" min="15" style="0" width="16.281690140845072"/>
    <col collapsed="false" customWidth="true" hidden="false" max="19" min="19" style="0" width="21.91549295774648"/>
    <col collapsed="false" customWidth="true" hidden="false" max="4" min="4" style="0" width="17.408450704225352"/>
    <col collapsed="false" customWidth="true" hidden="false" max="8" min="8" style="0" width="20.788732394366196"/>
    <col collapsed="false" customWidth="true" hidden="false" max="12" min="12" style="0" width="17.408450704225352"/>
    <col collapsed="false" customWidth="true" hidden="false" max="16" min="16" style="0" width="16.281690140845072"/>
    <col collapsed="false" customWidth="true" hidden="false" max="20" min="20" style="0" width="21.91549295774648"/>
    <col collapsed="false" customWidth="true" hidden="false" max="1" min="1" style="0" width="19.661971830985916"/>
    <col collapsed="false" customWidth="true" hidden="false" max="5" min="5" style="0" width="12.338028169014084"/>
    <col collapsed="false" customWidth="true" hidden="false" max="9" min="9" style="0" width="11.774647887323944"/>
    <col collapsed="false" customWidth="true" hidden="false" max="13" min="13" style="0" width="16.281690140845072"/>
    <col collapsed="false" customWidth="true" hidden="false" max="17" min="17" style="0" width="36.563380281690144"/>
    <col collapsed="false" customWidth="true" hidden="false" max="2" min="2" style="0" width="7.830985915492958"/>
    <col collapsed="false" customWidth="true" hidden="false" max="6" min="6" style="0" width="11.774647887323944"/>
    <col collapsed="false" customWidth="true" hidden="false" max="10" min="10" style="0" width="13.464788732394366"/>
    <col collapsed="false" customWidth="true" hidden="false" max="14" min="14" style="0" width="16.281690140845072"/>
    <col collapsed="false" customWidth="true" hidden="false" max="18" min="18" style="0" width="36.563380281690144"/>
  </cols>
  <sheetData>
    <row customHeight="true" ht="19.047619047619047" r="1">
      <c r="A1" s="128" t="s">
        <v>259</v>
      </c>
      <c r="B1" s="128"/>
      <c r="C1" s="129"/>
      <c r="E1" s="129"/>
      <c r="F1" s="129"/>
      <c r="G1" s="129"/>
      <c r="H1" s="129"/>
      <c r="I1" s="129"/>
      <c r="J1" s="129"/>
    </row>
    <row customHeight="true" ht="25" r="2">
      <c r="A2" s="130" t="s">
        <v>260</v>
      </c>
      <c r="B2" s="130" t="s">
        <v>261</v>
      </c>
      <c r="C2" s="131" t="s">
        <v>262</v>
      </c>
      <c r="D2" s="132" t="s">
        <v>263</v>
      </c>
      <c r="E2" s="131" t="s">
        <v>264</v>
      </c>
      <c r="F2" s="131" t="s">
        <v>265</v>
      </c>
      <c r="G2" s="131" t="s">
        <v>266</v>
      </c>
      <c r="H2" s="131" t="s">
        <v>267</v>
      </c>
      <c r="I2" s="131" t="s">
        <v>268</v>
      </c>
      <c r="J2" s="131" t="s">
        <v>269</v>
      </c>
      <c r="K2" s="132" t="s">
        <v>270</v>
      </c>
      <c r="L2" s="132" t="s">
        <v>271</v>
      </c>
    </row>
    <row customHeight="true" ht="16.666666666666668" r="3">
      <c r="A3" s="133" t="s">
        <v>272</v>
      </c>
      <c r="B3" s="134" t="s">
        <v>273</v>
      </c>
      <c r="C3" s="135">
        <v>49</v>
      </c>
      <c r="D3" s="135">
        <v>49</v>
      </c>
      <c r="E3" s="136">
        <f t="shared" ref="E3:E14" si="0">C3/6.8</f>
      </c>
      <c r="F3" s="137">
        <v>1000</v>
      </c>
      <c r="G3" s="138">
        <f t="shared" ref="G3:G14" si="5">E3/F3</f>
      </c>
      <c r="H3" s="139">
        <f t="shared" ref="H3:H14" si="1">C3/F3/0.05-1</f>
      </c>
      <c r="I3" s="140">
        <f>C3*12</f>
      </c>
      <c r="J3" s="141" t="s">
        <v>274</v>
      </c>
    </row>
    <row customHeight="true" ht="16.666666666666668" r="4">
      <c r="A4" s="142" t="s">
        <v>275</v>
      </c>
      <c r="B4" s="143" t="s">
        <v>276</v>
      </c>
      <c r="C4" s="144">
        <v>39</v>
      </c>
      <c r="D4" s="144">
        <v>39</v>
      </c>
      <c r="E4" s="145">
        <f t="shared" si="0"/>
      </c>
      <c r="F4" s="146">
        <f>F3</f>
      </c>
      <c r="G4" s="147">
        <f t="shared" si="5"/>
      </c>
      <c r="H4" s="148">
        <f t="shared" si="1"/>
      </c>
      <c r="I4" s="148">
        <f>C4/C3</f>
      </c>
      <c r="J4" s="149" t="s">
        <v>274</v>
      </c>
    </row>
    <row customHeight="true" ht="16.666666666666668" r="5">
      <c r="A5" s="142" t="s">
        <v>275</v>
      </c>
      <c r="B5" s="150" t="s">
        <v>277</v>
      </c>
      <c r="C5" s="151">
        <v>399</v>
      </c>
      <c r="D5" s="151">
        <v>399</v>
      </c>
      <c r="E5" s="152">
        <f t="shared" si="0"/>
      </c>
      <c r="F5" s="153">
        <f>F3*12</f>
      </c>
      <c r="G5" s="154">
        <f t="shared" si="5"/>
      </c>
      <c r="H5" s="155">
        <f t="shared" si="1"/>
      </c>
      <c r="I5" s="156">
        <f>C5/C3/12</f>
      </c>
      <c r="J5" s="156" t="s">
        <v>274</v>
      </c>
    </row>
    <row customHeight="true" ht="16.666666666666668" r="6">
      <c r="A6" s="133" t="s">
        <v>278</v>
      </c>
      <c r="B6" s="134" t="s">
        <v>273</v>
      </c>
      <c r="C6" s="135">
        <v>129</v>
      </c>
      <c r="D6" s="135">
        <v>129</v>
      </c>
      <c r="E6" s="136">
        <f t="shared" si="0"/>
      </c>
      <c r="F6" s="137">
        <v>2700</v>
      </c>
      <c r="G6" s="138">
        <f t="shared" si="5"/>
      </c>
      <c r="H6" s="139">
        <f t="shared" si="1"/>
      </c>
      <c r="I6" s="140">
        <f>C6*12</f>
      </c>
      <c r="J6" s="141">
        <f>G6/G3</f>
      </c>
    </row>
    <row customHeight="true" ht="16.666666666666668" r="7">
      <c r="A7" s="142" t="s">
        <v>279</v>
      </c>
      <c r="B7" s="143" t="s">
        <v>276</v>
      </c>
      <c r="C7" s="144">
        <v>99</v>
      </c>
      <c r="D7" s="144">
        <v>99</v>
      </c>
      <c r="E7" s="145">
        <f t="shared" si="0"/>
      </c>
      <c r="F7" s="146">
        <f>F6</f>
      </c>
      <c r="G7" s="147">
        <f t="shared" si="5"/>
      </c>
      <c r="H7" s="148">
        <f t="shared" si="1"/>
      </c>
      <c r="I7" s="148">
        <f>C7/C6</f>
      </c>
      <c r="J7" s="149" t="s">
        <v>274</v>
      </c>
    </row>
    <row customHeight="true" ht="16.666666666666668" r="8">
      <c r="A8" s="142" t="s">
        <v>279</v>
      </c>
      <c r="B8" s="150" t="s">
        <v>277</v>
      </c>
      <c r="C8" s="151">
        <v>999</v>
      </c>
      <c r="D8" s="151">
        <v>999</v>
      </c>
      <c r="E8" s="152">
        <f t="shared" si="0"/>
      </c>
      <c r="F8" s="153">
        <f>F6*12</f>
      </c>
      <c r="G8" s="154">
        <f t="shared" si="5"/>
      </c>
      <c r="H8" s="155">
        <f t="shared" si="1"/>
      </c>
      <c r="I8" s="156">
        <f>C8/C6/12</f>
      </c>
      <c r="J8" s="156">
        <f t="shared" ref="J8:J9" si="2">G8/G5</f>
      </c>
    </row>
    <row customHeight="true" ht="16.666666666666668" r="9">
      <c r="A9" s="133" t="s">
        <v>280</v>
      </c>
      <c r="B9" s="134" t="s">
        <v>273</v>
      </c>
      <c r="C9" s="135">
        <v>269</v>
      </c>
      <c r="D9" s="135">
        <v>269</v>
      </c>
      <c r="E9" s="136">
        <f t="shared" si="0"/>
      </c>
      <c r="F9" s="137">
        <v>6000</v>
      </c>
      <c r="G9" s="138">
        <f t="shared" si="5"/>
      </c>
      <c r="H9" s="139">
        <f t="shared" si="1"/>
      </c>
      <c r="I9" s="140">
        <f>C9*12</f>
      </c>
      <c r="J9" s="141">
        <f t="shared" si="2"/>
      </c>
    </row>
    <row customHeight="true" ht="16.666666666666668" r="10">
      <c r="A10" s="142" t="s">
        <v>281</v>
      </c>
      <c r="B10" s="143" t="s">
        <v>276</v>
      </c>
      <c r="C10" s="144">
        <v>199</v>
      </c>
      <c r="D10" s="144">
        <v>199</v>
      </c>
      <c r="E10" s="145">
        <f t="shared" si="0"/>
      </c>
      <c r="F10" s="146">
        <f>F9</f>
      </c>
      <c r="G10" s="147">
        <f t="shared" si="5"/>
      </c>
      <c r="H10" s="148">
        <f t="shared" si="1"/>
      </c>
      <c r="I10" s="148">
        <f>C10/C9</f>
      </c>
      <c r="J10" s="149" t="s">
        <v>274</v>
      </c>
    </row>
    <row customHeight="true" ht="16.666666666666668" r="11">
      <c r="A11" s="142" t="s">
        <v>281</v>
      </c>
      <c r="B11" s="150" t="s">
        <v>277</v>
      </c>
      <c r="C11" s="151">
        <v>1999</v>
      </c>
      <c r="D11" s="151">
        <v>1999</v>
      </c>
      <c r="E11" s="152">
        <f t="shared" si="0"/>
      </c>
      <c r="F11" s="153">
        <f>F9*12</f>
      </c>
      <c r="G11" s="154">
        <f t="shared" si="5"/>
      </c>
      <c r="H11" s="155">
        <f t="shared" si="1"/>
      </c>
      <c r="I11" s="156">
        <f>C11/C9/12</f>
      </c>
      <c r="J11" s="156">
        <f t="shared" ref="J11:J12" si="3">G11/G8</f>
      </c>
    </row>
    <row customHeight="true" ht="16.666666666666668" r="12">
      <c r="A12" s="133" t="s">
        <v>282</v>
      </c>
      <c r="B12" s="134" t="s">
        <v>273</v>
      </c>
      <c r="C12" s="135">
        <v>569</v>
      </c>
      <c r="D12" s="135">
        <v>569</v>
      </c>
      <c r="E12" s="136">
        <f t="shared" si="0"/>
      </c>
      <c r="F12" s="137">
        <v>13000</v>
      </c>
      <c r="G12" s="138">
        <f t="shared" si="5"/>
      </c>
      <c r="H12" s="139">
        <f t="shared" si="1"/>
      </c>
      <c r="I12" s="140">
        <f>C12*12</f>
      </c>
      <c r="J12" s="141">
        <f t="shared" si="3"/>
      </c>
    </row>
    <row customHeight="true" ht="16.666666666666668" r="13">
      <c r="A13" s="142" t="s">
        <v>283</v>
      </c>
      <c r="B13" s="143" t="s">
        <v>276</v>
      </c>
      <c r="C13" s="144">
        <v>449</v>
      </c>
      <c r="D13" s="144">
        <v>449</v>
      </c>
      <c r="E13" s="145">
        <f t="shared" si="0"/>
      </c>
      <c r="F13" s="146">
        <f>F12</f>
      </c>
      <c r="G13" s="147">
        <f t="shared" si="5"/>
      </c>
      <c r="H13" s="148">
        <f t="shared" si="1"/>
      </c>
      <c r="I13" s="148">
        <f>C13/C12</f>
      </c>
      <c r="J13" s="149" t="s">
        <v>274</v>
      </c>
    </row>
    <row customHeight="true" ht="16.666666666666668" r="14">
      <c r="A14" s="142" t="s">
        <v>283</v>
      </c>
      <c r="B14" s="150" t="s">
        <v>277</v>
      </c>
      <c r="C14" s="151">
        <v>3999</v>
      </c>
      <c r="D14" s="151">
        <v>3999</v>
      </c>
      <c r="E14" s="152">
        <f t="shared" si="0"/>
      </c>
      <c r="F14" s="153">
        <f>F12*12</f>
      </c>
      <c r="G14" s="154">
        <f t="shared" si="5"/>
      </c>
      <c r="H14" s="155">
        <f t="shared" si="1"/>
      </c>
      <c r="I14" s="156">
        <f>C14/C12/12</f>
      </c>
      <c r="J14" s="156">
        <f>G14/G11</f>
      </c>
    </row>
    <row customHeight="true" ht="16.666666666666668" r="15">
      <c r="A15" s="157" t="s">
        <v>284</v>
      </c>
      <c r="B15" s="134" t="s">
        <v>273</v>
      </c>
      <c r="C15" s="158">
        <v>200</v>
      </c>
      <c r="D15" s="159">
        <v>200</v>
      </c>
      <c r="E15" s="160" t="s">
        <v>274</v>
      </c>
      <c r="F15" s="161">
        <f t="shared" ref="F15:F26" si="6">F3</f>
      </c>
      <c r="G15" s="160" t="s">
        <v>274</v>
      </c>
      <c r="H15" s="160" t="s">
        <v>274</v>
      </c>
      <c r="I15" s="160" t="s">
        <v>274</v>
      </c>
      <c r="J15" s="160" t="s">
        <v>274</v>
      </c>
      <c r="K15" s="160" t="s">
        <v>285</v>
      </c>
      <c r="L15" s="162">
        <f t="shared" ref="L15:L26" si="4">D15-C3</f>
      </c>
    </row>
    <row customHeight="true" ht="16.666666666666668" r="16">
      <c r="A16" s="157" t="s">
        <v>284</v>
      </c>
      <c r="B16" s="143" t="s">
        <v>276</v>
      </c>
      <c r="C16" s="163">
        <v>200</v>
      </c>
      <c r="D16" s="164">
        <v>189</v>
      </c>
      <c r="E16" s="165" t="s">
        <v>274</v>
      </c>
      <c r="F16" s="166">
        <f t="shared" si="6"/>
      </c>
      <c r="G16" s="165" t="s">
        <v>274</v>
      </c>
      <c r="H16" s="165" t="s">
        <v>274</v>
      </c>
      <c r="I16" s="165" t="s">
        <v>274</v>
      </c>
      <c r="J16" s="165" t="s">
        <v>274</v>
      </c>
      <c r="K16" s="165" t="s">
        <v>286</v>
      </c>
      <c r="L16" s="167">
        <f t="shared" si="4"/>
      </c>
    </row>
    <row customHeight="true" ht="16.666666666666668" r="17">
      <c r="A17" s="168" t="s">
        <v>284</v>
      </c>
      <c r="B17" s="150" t="s">
        <v>277</v>
      </c>
      <c r="C17" s="169">
        <v>1920</v>
      </c>
      <c r="D17" s="170">
        <v>1920</v>
      </c>
      <c r="E17" s="171" t="s">
        <v>274</v>
      </c>
      <c r="F17" s="172">
        <f t="shared" si="6"/>
      </c>
      <c r="G17" s="171" t="s">
        <v>274</v>
      </c>
      <c r="H17" s="171" t="s">
        <v>274</v>
      </c>
      <c r="I17" s="171" t="s">
        <v>274</v>
      </c>
      <c r="J17" s="171" t="s">
        <v>274</v>
      </c>
      <c r="K17" s="171" t="s">
        <v>287</v>
      </c>
      <c r="L17" s="173">
        <f t="shared" si="4"/>
      </c>
    </row>
    <row customHeight="true" ht="16.666666666666668" r="18">
      <c r="A18" s="168" t="s">
        <v>288</v>
      </c>
      <c r="B18" s="134" t="s">
        <v>273</v>
      </c>
      <c r="C18" s="158">
        <v>280</v>
      </c>
      <c r="D18" s="159">
        <v>279</v>
      </c>
      <c r="E18" s="160" t="s">
        <v>274</v>
      </c>
      <c r="F18" s="161">
        <f t="shared" si="6"/>
      </c>
      <c r="G18" s="160" t="s">
        <v>274</v>
      </c>
      <c r="H18" s="160" t="s">
        <v>274</v>
      </c>
      <c r="I18" s="160" t="s">
        <v>274</v>
      </c>
      <c r="J18" s="160" t="s">
        <v>274</v>
      </c>
      <c r="K18" s="160" t="s">
        <v>289</v>
      </c>
      <c r="L18" s="162">
        <f t="shared" si="4"/>
      </c>
    </row>
    <row customHeight="true" ht="16.666666666666668" r="19">
      <c r="A19" s="168" t="s">
        <v>288</v>
      </c>
      <c r="B19" s="143" t="s">
        <v>276</v>
      </c>
      <c r="C19" s="163">
        <v>250</v>
      </c>
      <c r="D19" s="164">
        <v>249</v>
      </c>
      <c r="E19" s="165" t="s">
        <v>274</v>
      </c>
      <c r="F19" s="166">
        <f t="shared" si="6"/>
      </c>
      <c r="G19" s="165" t="s">
        <v>274</v>
      </c>
      <c r="H19" s="165" t="s">
        <v>274</v>
      </c>
      <c r="I19" s="165" t="s">
        <v>274</v>
      </c>
      <c r="J19" s="165" t="s">
        <v>274</v>
      </c>
      <c r="K19" s="165" t="s">
        <v>290</v>
      </c>
      <c r="L19" s="167">
        <f t="shared" si="4"/>
      </c>
    </row>
    <row customHeight="true" ht="16.666666666666668" r="20">
      <c r="A20" s="168" t="s">
        <v>288</v>
      </c>
      <c r="B20" s="150" t="s">
        <v>277</v>
      </c>
      <c r="C20" s="169">
        <v>2520</v>
      </c>
      <c r="D20" s="170">
        <v>2499</v>
      </c>
      <c r="E20" s="171" t="s">
        <v>274</v>
      </c>
      <c r="F20" s="172">
        <f t="shared" si="6"/>
      </c>
      <c r="G20" s="171" t="s">
        <v>274</v>
      </c>
      <c r="H20" s="171" t="s">
        <v>274</v>
      </c>
      <c r="I20" s="171" t="s">
        <v>274</v>
      </c>
      <c r="J20" s="171" t="s">
        <v>274</v>
      </c>
      <c r="K20" s="171" t="s">
        <v>291</v>
      </c>
      <c r="L20" s="173">
        <f t="shared" si="4"/>
      </c>
    </row>
    <row customHeight="true" ht="16.666666666666668" r="21">
      <c r="A21" s="168" t="s">
        <v>292</v>
      </c>
      <c r="B21" s="134" t="s">
        <v>273</v>
      </c>
      <c r="C21" s="158">
        <v>420</v>
      </c>
      <c r="D21" s="159">
        <v>419</v>
      </c>
      <c r="E21" s="160" t="s">
        <v>274</v>
      </c>
      <c r="F21" s="161">
        <f t="shared" si="6"/>
      </c>
      <c r="G21" s="160" t="s">
        <v>274</v>
      </c>
      <c r="H21" s="160" t="s">
        <v>274</v>
      </c>
      <c r="I21" s="160" t="s">
        <v>274</v>
      </c>
      <c r="J21" s="160" t="s">
        <v>274</v>
      </c>
      <c r="K21" s="160" t="s">
        <v>293</v>
      </c>
      <c r="L21" s="162">
        <f t="shared" si="4"/>
      </c>
    </row>
    <row customHeight="true" ht="16.666666666666668" r="22">
      <c r="A22" s="168" t="s">
        <v>292</v>
      </c>
      <c r="B22" s="143" t="s">
        <v>276</v>
      </c>
      <c r="C22" s="163">
        <v>350</v>
      </c>
      <c r="D22" s="164">
        <v>349</v>
      </c>
      <c r="E22" s="165" t="s">
        <v>274</v>
      </c>
      <c r="F22" s="166">
        <f t="shared" si="6"/>
      </c>
      <c r="G22" s="165" t="s">
        <v>274</v>
      </c>
      <c r="H22" s="165" t="s">
        <v>274</v>
      </c>
      <c r="I22" s="165" t="s">
        <v>274</v>
      </c>
      <c r="J22" s="165" t="s">
        <v>274</v>
      </c>
      <c r="K22" s="165" t="s">
        <v>294</v>
      </c>
      <c r="L22" s="167">
        <f t="shared" si="4"/>
      </c>
    </row>
    <row customHeight="true" ht="16.666666666666668" r="23">
      <c r="A23" s="174" t="s">
        <v>292</v>
      </c>
      <c r="B23" s="175" t="s">
        <v>277</v>
      </c>
      <c r="C23" s="170">
        <v>3520</v>
      </c>
      <c r="D23" s="170">
        <v>3499</v>
      </c>
      <c r="E23" s="171" t="s">
        <v>274</v>
      </c>
      <c r="F23" s="172">
        <f t="shared" si="6"/>
      </c>
      <c r="G23" s="171" t="s">
        <v>274</v>
      </c>
      <c r="H23" s="171" t="s">
        <v>274</v>
      </c>
      <c r="I23" s="171" t="s">
        <v>274</v>
      </c>
      <c r="J23" s="171" t="s">
        <v>274</v>
      </c>
      <c r="K23" s="171" t="s">
        <v>295</v>
      </c>
      <c r="L23" s="173">
        <f t="shared" si="4"/>
      </c>
    </row>
    <row customHeight="true" ht="16.666666666666668" r="24">
      <c r="A24" s="174" t="s">
        <v>296</v>
      </c>
      <c r="B24" s="176" t="s">
        <v>273</v>
      </c>
      <c r="C24" s="159">
        <v>720</v>
      </c>
      <c r="D24" s="159">
        <v>719</v>
      </c>
      <c r="E24" s="160" t="s">
        <v>274</v>
      </c>
      <c r="F24" s="161">
        <f t="shared" si="6"/>
      </c>
      <c r="G24" s="160" t="s">
        <v>274</v>
      </c>
      <c r="H24" s="160" t="s">
        <v>274</v>
      </c>
      <c r="I24" s="160" t="s">
        <v>274</v>
      </c>
      <c r="J24" s="160" t="s">
        <v>274</v>
      </c>
      <c r="K24" s="160" t="s">
        <v>297</v>
      </c>
      <c r="L24" s="162">
        <f t="shared" si="4"/>
      </c>
    </row>
    <row customHeight="true" ht="16.666666666666668" r="25">
      <c r="A25" s="174" t="s">
        <v>296</v>
      </c>
      <c r="B25" s="177" t="s">
        <v>276</v>
      </c>
      <c r="C25" s="164">
        <v>600</v>
      </c>
      <c r="D25" s="164">
        <v>599</v>
      </c>
      <c r="E25" s="165" t="s">
        <v>274</v>
      </c>
      <c r="F25" s="166">
        <f t="shared" si="6"/>
      </c>
      <c r="G25" s="165" t="s">
        <v>274</v>
      </c>
      <c r="H25" s="165" t="s">
        <v>274</v>
      </c>
      <c r="I25" s="165" t="s">
        <v>274</v>
      </c>
      <c r="J25" s="165" t="s">
        <v>274</v>
      </c>
      <c r="K25" s="165" t="s">
        <v>298</v>
      </c>
      <c r="L25" s="167">
        <f t="shared" si="4"/>
      </c>
    </row>
    <row customHeight="true" ht="16.666666666666668" r="26">
      <c r="A26" s="174" t="s">
        <v>296</v>
      </c>
      <c r="B26" s="175" t="s">
        <v>277</v>
      </c>
      <c r="C26" s="170">
        <v>5520</v>
      </c>
      <c r="D26" s="170">
        <v>5499</v>
      </c>
      <c r="E26" s="171" t="s">
        <v>274</v>
      </c>
      <c r="F26" s="172">
        <f t="shared" si="6"/>
      </c>
      <c r="G26" s="171" t="s">
        <v>274</v>
      </c>
      <c r="H26" s="171" t="s">
        <v>274</v>
      </c>
      <c r="I26" s="171" t="s">
        <v>274</v>
      </c>
      <c r="J26" s="171" t="s">
        <v>274</v>
      </c>
      <c r="K26" s="171" t="s">
        <v>299</v>
      </c>
      <c r="L26" s="173">
        <f t="shared" si="4"/>
      </c>
    </row>
    <row r="27">
      <c r="A27" s="178"/>
      <c r="B27" s="178"/>
    </row>
    <row r="28">
      <c r="A28" s="178"/>
      <c r="B28" s="178"/>
    </row>
    <row r="29">
      <c r="A29" s="178"/>
      <c r="B29" s="178"/>
    </row>
    <row r="30">
      <c r="A30" s="178"/>
      <c r="B30" s="178"/>
    </row>
    <row r="31">
      <c r="A31" s="178"/>
      <c r="B31" s="178"/>
    </row>
    <row r="32">
      <c r="A32" s="178"/>
      <c r="B32" s="178"/>
    </row>
    <row r="33">
      <c r="A33" s="178"/>
      <c r="B33" s="178"/>
    </row>
    <row r="34">
      <c r="A34" s="178"/>
      <c r="B34" s="178"/>
    </row>
    <row r="35">
      <c r="A35" s="178"/>
      <c r="B35" s="178"/>
    </row>
    <row r="36">
      <c r="A36" s="178"/>
      <c r="B36" s="178"/>
    </row>
    <row r="37">
      <c r="A37" s="178"/>
      <c r="B37" s="178"/>
    </row>
    <row r="38">
      <c r="A38" s="178"/>
      <c r="B38" s="178"/>
    </row>
    <row r="39">
      <c r="A39" s="178"/>
      <c r="B39" s="178"/>
    </row>
    <row r="40">
      <c r="A40" s="178"/>
      <c r="B40" s="178"/>
    </row>
    <row r="41">
      <c r="A41" s="178"/>
      <c r="B41" s="178"/>
    </row>
    <row r="42">
      <c r="A42" s="178"/>
      <c r="B42" s="178"/>
    </row>
    <row r="43">
      <c r="A43" s="178"/>
      <c r="B43" s="178"/>
    </row>
    <row r="44">
      <c r="A44" s="178"/>
      <c r="B44" s="178"/>
    </row>
    <row r="45">
      <c r="A45" s="178"/>
      <c r="B45" s="178"/>
    </row>
    <row r="46">
      <c r="A46" s="178"/>
      <c r="B46" s="178"/>
    </row>
    <row r="47">
      <c r="A47" s="178"/>
      <c r="B47" s="178"/>
    </row>
    <row r="48">
      <c r="A48" s="178"/>
      <c r="B48" s="178"/>
    </row>
    <row r="49">
      <c r="A49" s="178"/>
      <c r="B49" s="178"/>
    </row>
    <row r="50">
      <c r="A50" s="178"/>
      <c r="B50" s="178"/>
    </row>
    <row r="51">
      <c r="A51" s="178"/>
      <c r="B51" s="178"/>
    </row>
    <row r="52">
      <c r="A52" s="178"/>
      <c r="B52" s="178"/>
    </row>
    <row r="53">
      <c r="A53" s="178"/>
      <c r="B53" s="178"/>
    </row>
    <row r="54">
      <c r="A54" s="178"/>
      <c r="B54" s="178"/>
    </row>
    <row r="55">
      <c r="A55" s="178"/>
      <c r="B55" s="178"/>
    </row>
    <row r="56">
      <c r="A56" s="178"/>
      <c r="B56" s="178"/>
    </row>
    <row r="57">
      <c r="A57" s="178"/>
      <c r="B57" s="178"/>
    </row>
    <row r="58">
      <c r="A58" s="178"/>
      <c r="B58" s="178"/>
    </row>
    <row r="59">
      <c r="A59" s="178"/>
      <c r="B59" s="178"/>
    </row>
    <row r="60">
      <c r="A60" s="178"/>
      <c r="B60" s="178"/>
    </row>
    <row r="61">
      <c r="A61" s="178"/>
      <c r="B61" s="178"/>
    </row>
    <row r="62">
      <c r="A62" s="178"/>
      <c r="B62" s="178"/>
    </row>
    <row r="63">
      <c r="A63" s="178"/>
      <c r="B63" s="178"/>
    </row>
    <row r="64">
      <c r="A64" s="178"/>
      <c r="B64" s="178"/>
    </row>
    <row r="65">
      <c r="A65" s="178"/>
      <c r="B65" s="178"/>
    </row>
    <row r="66">
      <c r="A66" s="178"/>
      <c r="B66" s="178"/>
    </row>
    <row r="67">
      <c r="A67" s="178"/>
      <c r="B67" s="178"/>
    </row>
    <row r="68">
      <c r="A68" s="178"/>
      <c r="B68" s="178"/>
    </row>
    <row r="69">
      <c r="A69" s="178"/>
      <c r="B69" s="178"/>
    </row>
    <row r="70">
      <c r="A70" s="178"/>
      <c r="B70" s="178"/>
    </row>
    <row r="71">
      <c r="A71" s="178"/>
      <c r="B71" s="178"/>
    </row>
    <row r="72">
      <c r="A72" s="178"/>
      <c r="B72" s="178"/>
    </row>
    <row r="73">
      <c r="A73" s="178"/>
      <c r="B73" s="178"/>
    </row>
    <row r="74">
      <c r="A74" s="178"/>
      <c r="B74" s="178"/>
    </row>
    <row r="75">
      <c r="A75" s="178"/>
      <c r="B75" s="178"/>
    </row>
    <row r="76">
      <c r="A76" s="178"/>
      <c r="B76" s="178"/>
    </row>
    <row r="77">
      <c r="A77" s="178"/>
      <c r="B77" s="178"/>
    </row>
    <row r="78">
      <c r="A78" s="178"/>
      <c r="B78" s="178"/>
    </row>
    <row r="79">
      <c r="A79" s="178"/>
      <c r="B79" s="178"/>
    </row>
    <row r="80">
      <c r="A80" s="178"/>
      <c r="B80" s="178"/>
    </row>
    <row r="81">
      <c r="A81" s="178"/>
      <c r="B81" s="178"/>
    </row>
    <row r="82">
      <c r="A82" s="178"/>
      <c r="B82" s="178"/>
    </row>
    <row r="83">
      <c r="A83" s="178"/>
      <c r="B83" s="178"/>
    </row>
    <row r="84">
      <c r="A84" s="178"/>
      <c r="B84" s="178"/>
    </row>
    <row r="85">
      <c r="A85" s="178"/>
      <c r="B85" s="178"/>
    </row>
    <row r="86">
      <c r="A86" s="178"/>
      <c r="B86" s="178"/>
    </row>
    <row r="87">
      <c r="A87" s="178"/>
      <c r="B87" s="178"/>
    </row>
    <row r="88">
      <c r="A88" s="178"/>
      <c r="B88" s="178"/>
    </row>
    <row r="89">
      <c r="A89" s="178"/>
      <c r="B89" s="178"/>
    </row>
    <row r="90">
      <c r="A90" s="178"/>
      <c r="B90" s="178"/>
    </row>
    <row r="91">
      <c r="A91" s="178"/>
      <c r="B91" s="178"/>
    </row>
    <row r="92">
      <c r="A92" s="178"/>
      <c r="B92" s="178"/>
    </row>
    <row r="93">
      <c r="A93" s="178"/>
      <c r="B93" s="178"/>
    </row>
    <row r="94">
      <c r="A94" s="178"/>
      <c r="B94" s="178"/>
    </row>
    <row r="95">
      <c r="A95" s="178"/>
      <c r="B95" s="178"/>
    </row>
    <row r="96">
      <c r="A96" s="178"/>
      <c r="B96" s="178"/>
    </row>
    <row r="97">
      <c r="A97" s="178"/>
      <c r="B97" s="178"/>
    </row>
    <row r="98">
      <c r="A98" s="178"/>
      <c r="B98" s="178"/>
    </row>
    <row r="99">
      <c r="A99" s="178"/>
      <c r="B99" s="178"/>
    </row>
    <row r="100">
      <c r="A100" s="178"/>
      <c r="B100" s="178"/>
    </row>
    <row r="101">
      <c r="A101" s="178"/>
      <c r="B101" s="178"/>
    </row>
    <row r="102">
      <c r="A102" s="178"/>
      <c r="B102" s="178"/>
    </row>
    <row r="103">
      <c r="A103" s="178"/>
      <c r="B103" s="178"/>
    </row>
    <row r="104">
      <c r="A104" s="178"/>
      <c r="B104" s="178"/>
    </row>
    <row r="105">
      <c r="A105" s="178"/>
      <c r="B105" s="178"/>
    </row>
    <row r="106">
      <c r="A106" s="178"/>
      <c r="B106" s="178"/>
    </row>
    <row r="107">
      <c r="A107" s="178"/>
      <c r="B107" s="178"/>
    </row>
    <row r="108">
      <c r="A108" s="178"/>
      <c r="B108" s="178"/>
    </row>
    <row r="109">
      <c r="A109" s="178"/>
      <c r="B109" s="178"/>
    </row>
    <row r="110">
      <c r="A110" s="178"/>
      <c r="B110" s="178"/>
    </row>
    <row r="111">
      <c r="A111" s="178"/>
      <c r="B111" s="178"/>
    </row>
    <row r="112">
      <c r="A112" s="178"/>
      <c r="B112" s="178"/>
    </row>
    <row r="113">
      <c r="A113" s="178"/>
      <c r="B113" s="178"/>
    </row>
    <row r="114">
      <c r="A114" s="178"/>
      <c r="B114" s="178"/>
    </row>
    <row r="115">
      <c r="A115" s="178"/>
      <c r="B115" s="178"/>
    </row>
    <row r="116">
      <c r="A116" s="178"/>
      <c r="B116" s="178"/>
    </row>
    <row r="117">
      <c r="A117" s="178"/>
      <c r="B117" s="178"/>
    </row>
    <row r="118">
      <c r="A118" s="178"/>
      <c r="B118" s="178"/>
    </row>
    <row r="119">
      <c r="A119" s="178"/>
      <c r="B119" s="178"/>
    </row>
    <row r="120">
      <c r="A120" s="178"/>
      <c r="B120" s="178"/>
    </row>
    <row r="121">
      <c r="A121" s="178"/>
      <c r="B121" s="178"/>
    </row>
    <row r="122">
      <c r="A122" s="178"/>
      <c r="B122" s="178"/>
    </row>
    <row r="123">
      <c r="A123" s="178"/>
      <c r="B123" s="178"/>
    </row>
    <row r="124">
      <c r="A124" s="178"/>
      <c r="B124" s="178"/>
    </row>
    <row r="125">
      <c r="A125" s="178"/>
      <c r="B125" s="178"/>
    </row>
    <row r="126">
      <c r="A126" s="178"/>
      <c r="B126" s="178"/>
    </row>
    <row r="127">
      <c r="A127" s="178"/>
      <c r="B127" s="178"/>
    </row>
    <row r="128">
      <c r="A128" s="178"/>
      <c r="B128" s="178"/>
    </row>
    <row r="129">
      <c r="A129" s="178"/>
      <c r="B129" s="178"/>
    </row>
    <row r="130">
      <c r="A130" s="178"/>
      <c r="B130" s="178"/>
    </row>
    <row r="131">
      <c r="A131" s="178"/>
      <c r="B131" s="178"/>
    </row>
    <row r="132">
      <c r="A132" s="178"/>
      <c r="B132" s="178"/>
    </row>
    <row r="133">
      <c r="A133" s="178"/>
      <c r="B133" s="178"/>
    </row>
    <row r="134">
      <c r="A134" s="178"/>
      <c r="B134" s="178"/>
    </row>
    <row r="135">
      <c r="A135" s="178"/>
      <c r="B135" s="178"/>
    </row>
    <row r="136">
      <c r="A136" s="178"/>
      <c r="B136" s="178"/>
    </row>
    <row r="137">
      <c r="A137" s="178"/>
      <c r="B137" s="178"/>
    </row>
    <row r="138">
      <c r="A138" s="178"/>
      <c r="B138" s="178"/>
    </row>
    <row r="139">
      <c r="A139" s="178"/>
      <c r="B139" s="178"/>
    </row>
    <row r="140">
      <c r="A140" s="178"/>
      <c r="B140" s="178"/>
    </row>
    <row r="141">
      <c r="A141" s="178"/>
      <c r="B141" s="178"/>
    </row>
    <row r="142">
      <c r="A142" s="178"/>
      <c r="B142" s="178"/>
    </row>
    <row r="143">
      <c r="A143" s="178"/>
      <c r="B143" s="178"/>
    </row>
    <row r="144">
      <c r="A144" s="178"/>
      <c r="B144" s="178"/>
    </row>
    <row r="145">
      <c r="A145" s="178"/>
      <c r="B145" s="178"/>
    </row>
    <row r="146">
      <c r="A146" s="178"/>
      <c r="B146" s="178"/>
    </row>
    <row r="147">
      <c r="A147" s="178"/>
      <c r="B147" s="178"/>
    </row>
    <row r="148">
      <c r="A148" s="178"/>
      <c r="B148" s="178"/>
    </row>
    <row r="149">
      <c r="A149" s="178"/>
      <c r="B149" s="178"/>
    </row>
    <row r="150">
      <c r="A150" s="178"/>
      <c r="B150" s="178"/>
    </row>
    <row r="151">
      <c r="A151" s="178"/>
      <c r="B151" s="178"/>
    </row>
    <row r="152">
      <c r="A152" s="178"/>
      <c r="B152" s="178"/>
    </row>
    <row r="153">
      <c r="A153" s="178"/>
      <c r="B153" s="178"/>
    </row>
    <row r="154">
      <c r="A154" s="178"/>
      <c r="B154" s="178"/>
    </row>
    <row r="155">
      <c r="A155" s="178"/>
      <c r="B155" s="178"/>
    </row>
    <row r="156">
      <c r="A156" s="178"/>
      <c r="B156" s="178"/>
    </row>
    <row r="157">
      <c r="A157" s="178"/>
      <c r="B157" s="178"/>
    </row>
    <row r="158">
      <c r="A158" s="178"/>
      <c r="B158" s="178"/>
    </row>
    <row r="159">
      <c r="A159" s="178"/>
      <c r="B159" s="178"/>
    </row>
    <row r="160">
      <c r="A160" s="178"/>
      <c r="B160" s="178"/>
    </row>
    <row r="161">
      <c r="A161" s="178"/>
      <c r="B161" s="178"/>
    </row>
    <row r="162">
      <c r="A162" s="178"/>
      <c r="B162" s="178"/>
    </row>
    <row r="163">
      <c r="A163" s="178"/>
      <c r="B163" s="178"/>
    </row>
    <row r="164">
      <c r="A164" s="178"/>
      <c r="B164" s="178"/>
    </row>
    <row r="165">
      <c r="A165" s="178"/>
      <c r="B165" s="178"/>
    </row>
    <row r="166">
      <c r="A166" s="178"/>
      <c r="B166" s="178"/>
    </row>
    <row r="167">
      <c r="A167" s="178"/>
      <c r="B167" s="178"/>
    </row>
    <row r="168">
      <c r="A168" s="178"/>
      <c r="B168" s="178"/>
    </row>
    <row r="169">
      <c r="A169" s="178"/>
      <c r="B169" s="178"/>
    </row>
    <row r="170">
      <c r="A170" s="178"/>
      <c r="B170" s="178"/>
    </row>
    <row r="171">
      <c r="A171" s="178"/>
      <c r="B171" s="178"/>
    </row>
    <row r="172">
      <c r="A172" s="178"/>
      <c r="B172" s="178"/>
    </row>
    <row r="173">
      <c r="A173" s="178"/>
      <c r="B173" s="178"/>
    </row>
    <row r="174">
      <c r="A174" s="178"/>
      <c r="B174" s="178"/>
    </row>
    <row r="175">
      <c r="A175" s="178"/>
      <c r="B175" s="178"/>
    </row>
    <row r="176">
      <c r="A176" s="178"/>
      <c r="B176" s="178"/>
    </row>
    <row r="177">
      <c r="A177" s="178"/>
      <c r="B177" s="178"/>
    </row>
    <row r="178">
      <c r="A178" s="178"/>
      <c r="B178" s="178"/>
    </row>
    <row r="179">
      <c r="A179" s="178"/>
      <c r="B179" s="178"/>
    </row>
    <row r="180">
      <c r="A180" s="178"/>
      <c r="B180" s="178"/>
    </row>
    <row r="181">
      <c r="A181" s="178"/>
      <c r="B181" s="178"/>
    </row>
    <row r="182">
      <c r="A182" s="178"/>
      <c r="B182" s="178"/>
    </row>
    <row r="183">
      <c r="A183" s="178"/>
      <c r="B183" s="178"/>
    </row>
    <row r="184">
      <c r="A184" s="178"/>
      <c r="B184" s="178"/>
    </row>
    <row r="185">
      <c r="A185" s="178"/>
      <c r="B185" s="178"/>
    </row>
    <row r="186">
      <c r="A186" s="178"/>
      <c r="B186" s="178"/>
    </row>
    <row r="187">
      <c r="A187" s="178"/>
      <c r="B187" s="178"/>
    </row>
    <row r="188">
      <c r="A188" s="178"/>
      <c r="B188" s="178"/>
    </row>
    <row r="189">
      <c r="A189" s="178"/>
      <c r="B189" s="178"/>
    </row>
    <row r="190">
      <c r="A190" s="178"/>
      <c r="B190" s="178"/>
    </row>
    <row r="191">
      <c r="A191" s="178"/>
      <c r="B191" s="178"/>
    </row>
    <row r="192">
      <c r="A192" s="178"/>
      <c r="B192" s="178"/>
    </row>
    <row r="193">
      <c r="A193" s="178"/>
      <c r="B193" s="178"/>
    </row>
    <row r="194">
      <c r="A194" s="178"/>
      <c r="B194" s="178"/>
    </row>
    <row r="195">
      <c r="A195" s="178"/>
      <c r="B195" s="178"/>
    </row>
    <row r="196">
      <c r="A196" s="178"/>
      <c r="B196" s="178"/>
    </row>
    <row r="197">
      <c r="A197" s="178"/>
      <c r="B197" s="178"/>
    </row>
    <row r="198">
      <c r="A198" s="178"/>
      <c r="B198" s="178"/>
    </row>
    <row r="199">
      <c r="A199" s="178"/>
      <c r="B199" s="178"/>
    </row>
    <row r="200">
      <c r="A200" s="178"/>
      <c r="B200" s="178"/>
    </row>
    <row r="201">
      <c r="A201" s="178"/>
      <c r="B201" s="178"/>
    </row>
  </sheetData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0"/>
  <cols>
    <col collapsed="false" customWidth="true" hidden="false" max="1" min="1" style="0" width="23.61296240706651"/>
    <col collapsed="false" customWidth="true" hidden="false" max="7" min="7" style="0" width="16.449480037563404"/>
    <col collapsed="false" customWidth="true" hidden="false" max="9" min="9" style="0" width="30.795487861155674"/>
    <col collapsed="false" customWidth="true" hidden="false" max="11" min="11" style="0" width="13.915492957746478"/>
    <col collapsed="false" customWidth="true" hidden="false" max="13" min="13" style="0" width="24.8143405889884"/>
    <col collapsed="false" customWidth="true" hidden="false" max="2" min="2" style="0" width="24.40169480143271"/>
    <col collapsed="false" customWidth="true" hidden="false" max="6" min="6" style="0" width="12.700418728587747"/>
    <col collapsed="false" customWidth="true" hidden="false" max="8" min="8" style="0" width="12.813324351532007"/>
    <col collapsed="false" customWidth="true" hidden="false" max="10" min="10" style="0" width="34.79355187107285"/>
    <col collapsed="false" customWidth="true" hidden="false" max="12" min="12" style="0" width="24.732394366197184"/>
    <col collapsed="false" customWidth="true" hidden="false" max="14" min="14" style="0" width="27.290824451125726"/>
  </cols>
  <sheetData>
    <row customHeight="true" ht="35.12872650863992" r="1">
      <c r="A1" s="179" t="s">
        <v>300</v>
      </c>
      <c r="B1" s="180" t="s">
        <v>301</v>
      </c>
      <c r="C1" s="181" t="s">
        <v>302</v>
      </c>
      <c r="D1" s="181" t="s">
        <v>303</v>
      </c>
      <c r="E1" s="181" t="s">
        <v>304</v>
      </c>
      <c r="F1" s="181" t="s">
        <v>305</v>
      </c>
      <c r="G1" s="181" t="s">
        <v>306</v>
      </c>
      <c r="H1" s="181" t="s">
        <v>307</v>
      </c>
      <c r="I1" s="182" t="s">
        <v>308</v>
      </c>
      <c r="J1" s="182" t="s">
        <v>309</v>
      </c>
      <c r="K1" s="183" t="s">
        <v>310</v>
      </c>
      <c r="L1" s="183" t="s">
        <v>311</v>
      </c>
      <c r="M1" s="184" t="s">
        <v>312</v>
      </c>
      <c r="N1" s="183" t="s">
        <v>313</v>
      </c>
      <c r="O1" s="185"/>
      <c r="P1" s="185"/>
      <c r="Q1" s="185"/>
      <c r="R1" s="185"/>
      <c r="S1" s="185"/>
      <c r="T1" s="185"/>
      <c r="U1" s="185"/>
      <c r="V1" s="185"/>
      <c r="W1" s="185"/>
    </row>
    <row customHeight="true" ht="46.42857142857143" r="2">
      <c r="A2" s="186" t="s">
        <v>314</v>
      </c>
      <c r="B2" s="187">
        <v>2</v>
      </c>
      <c r="C2" s="188" t="s">
        <v>315</v>
      </c>
      <c r="D2" s="188" t="s">
        <v>316</v>
      </c>
      <c r="E2" s="188" t="s">
        <v>317</v>
      </c>
      <c r="F2" s="188" t="s">
        <v>318</v>
      </c>
      <c r="G2" s="188" t="s">
        <v>319</v>
      </c>
      <c r="H2" s="188"/>
      <c r="I2" s="188" t="s">
        <v>320</v>
      </c>
      <c r="J2" s="189" t="s">
        <v>321</v>
      </c>
      <c r="K2" s="190"/>
      <c r="L2" s="191" t="s">
        <v>322</v>
      </c>
      <c r="M2" s="192">
        <v>1</v>
      </c>
      <c r="N2" s="193"/>
      <c r="O2" s="194"/>
      <c r="P2" s="194"/>
      <c r="Q2" s="194"/>
      <c r="R2" s="194"/>
      <c r="S2" s="194"/>
      <c r="T2" s="194"/>
      <c r="U2" s="194"/>
      <c r="V2" s="194"/>
      <c r="W2" s="194"/>
    </row>
    <row customHeight="true" ht="33.938250318163725" r="3">
      <c r="A3" s="195" t="s">
        <v>323</v>
      </c>
      <c r="B3" s="187">
        <v>4</v>
      </c>
      <c r="C3" s="188" t="s">
        <v>324</v>
      </c>
      <c r="D3" s="188" t="s">
        <v>325</v>
      </c>
      <c r="E3" s="188" t="s">
        <v>326</v>
      </c>
      <c r="F3" s="188" t="s">
        <v>327</v>
      </c>
      <c r="G3" s="188" t="s">
        <v>328</v>
      </c>
      <c r="H3" s="188" t="s">
        <v>329</v>
      </c>
      <c r="I3" s="188" t="s">
        <v>320</v>
      </c>
      <c r="J3" s="189" t="s">
        <v>321</v>
      </c>
      <c r="K3" s="190"/>
      <c r="L3" s="196" t="s">
        <v>330</v>
      </c>
      <c r="M3" s="192">
        <v>3</v>
      </c>
      <c r="N3" s="197" t="s">
        <v>331</v>
      </c>
      <c r="O3" s="194"/>
      <c r="P3" s="194"/>
      <c r="Q3" s="194"/>
      <c r="R3" s="194"/>
      <c r="S3" s="194"/>
      <c r="T3" s="194"/>
      <c r="U3" s="194"/>
      <c r="V3" s="194"/>
      <c r="W3" s="194"/>
    </row>
    <row r="4">
      <c r="A4" s="195" t="s">
        <v>332</v>
      </c>
      <c r="B4" s="187">
        <v>6</v>
      </c>
      <c r="C4" s="188" t="s">
        <v>333</v>
      </c>
      <c r="D4" s="188" t="s">
        <v>333</v>
      </c>
      <c r="E4" s="188" t="s">
        <v>326</v>
      </c>
      <c r="F4" s="188" t="s">
        <v>327</v>
      </c>
      <c r="G4" s="188" t="s">
        <v>328</v>
      </c>
      <c r="H4" s="188" t="s">
        <v>329</v>
      </c>
      <c r="I4" s="188" t="s">
        <v>320</v>
      </c>
      <c r="J4" s="189" t="s">
        <v>321</v>
      </c>
      <c r="K4" s="190"/>
      <c r="L4" s="196" t="s">
        <v>330</v>
      </c>
      <c r="M4" s="192">
        <v>3</v>
      </c>
      <c r="N4" s="197" t="s">
        <v>331</v>
      </c>
      <c r="O4" s="194"/>
      <c r="P4" s="194"/>
      <c r="Q4" s="194"/>
      <c r="R4" s="194"/>
      <c r="S4" s="194"/>
      <c r="T4" s="194"/>
      <c r="U4" s="194"/>
      <c r="V4" s="194"/>
      <c r="W4" s="194"/>
    </row>
    <row r="5">
      <c r="A5" s="195" t="s">
        <v>334</v>
      </c>
      <c r="B5" s="187">
        <v>10</v>
      </c>
      <c r="C5" s="188" t="s">
        <v>333</v>
      </c>
      <c r="D5" s="188" t="s">
        <v>333</v>
      </c>
      <c r="E5" s="188" t="s">
        <v>326</v>
      </c>
      <c r="F5" s="188" t="s">
        <v>327</v>
      </c>
      <c r="G5" s="188" t="s">
        <v>335</v>
      </c>
      <c r="H5" s="188" t="s">
        <v>329</v>
      </c>
      <c r="I5" s="188" t="s">
        <v>320</v>
      </c>
      <c r="J5" s="189" t="s">
        <v>321</v>
      </c>
      <c r="K5" s="190"/>
      <c r="L5" s="196" t="s">
        <v>330</v>
      </c>
      <c r="M5" s="192">
        <v>3</v>
      </c>
      <c r="N5" s="197" t="s">
        <v>336</v>
      </c>
      <c r="O5" s="194"/>
      <c r="P5" s="194"/>
      <c r="Q5" s="194"/>
      <c r="R5" s="194"/>
      <c r="S5" s="194"/>
      <c r="T5" s="194"/>
      <c r="U5" s="194"/>
      <c r="V5" s="194"/>
      <c r="W5" s="194"/>
    </row>
    <row r="6">
      <c r="A6" s="195" t="s">
        <v>337</v>
      </c>
      <c r="B6" s="187" t="s">
        <v>338</v>
      </c>
      <c r="C6" s="188" t="s">
        <v>333</v>
      </c>
      <c r="D6" s="188" t="s">
        <v>333</v>
      </c>
      <c r="E6" s="188" t="s">
        <v>326</v>
      </c>
      <c r="F6" s="188" t="s">
        <v>327</v>
      </c>
      <c r="G6" s="188" t="s">
        <v>335</v>
      </c>
      <c r="H6" s="188" t="s">
        <v>329</v>
      </c>
      <c r="I6" s="188" t="s">
        <v>320</v>
      </c>
      <c r="J6" s="189" t="s">
        <v>321</v>
      </c>
      <c r="K6" s="190"/>
      <c r="L6" s="196" t="s">
        <v>330</v>
      </c>
      <c r="M6" s="192">
        <v>3</v>
      </c>
      <c r="N6" s="197" t="s">
        <v>336</v>
      </c>
      <c r="O6" s="194"/>
      <c r="P6" s="194"/>
      <c r="Q6" s="194"/>
      <c r="R6" s="194"/>
      <c r="S6" s="194"/>
      <c r="T6" s="194"/>
      <c r="U6" s="194"/>
      <c r="V6" s="194"/>
      <c r="W6" s="194"/>
    </row>
    <row customHeight="true" ht="44.057297937211345" r="7">
      <c r="A7" s="198" t="s">
        <v>339</v>
      </c>
      <c r="B7" s="187">
        <v>4</v>
      </c>
      <c r="C7" s="188" t="s">
        <v>333</v>
      </c>
      <c r="D7" s="188" t="s">
        <v>333</v>
      </c>
      <c r="E7" s="188" t="s">
        <v>326</v>
      </c>
      <c r="F7" s="188" t="s">
        <v>340</v>
      </c>
      <c r="G7" s="188" t="s">
        <v>335</v>
      </c>
      <c r="H7" s="188" t="s">
        <v>341</v>
      </c>
      <c r="I7" s="189" t="s">
        <v>320</v>
      </c>
      <c r="J7" s="189" t="s">
        <v>342</v>
      </c>
      <c r="K7" s="190"/>
      <c r="L7" s="196" t="s">
        <v>330</v>
      </c>
      <c r="M7" s="192">
        <v>6</v>
      </c>
      <c r="N7" s="197" t="s">
        <v>336</v>
      </c>
      <c r="O7" s="194"/>
      <c r="P7" s="194"/>
      <c r="Q7" s="194"/>
      <c r="R7" s="194"/>
      <c r="S7" s="194"/>
      <c r="T7" s="194"/>
      <c r="U7" s="194"/>
      <c r="V7" s="194"/>
      <c r="W7" s="194"/>
    </row>
    <row r="8">
      <c r="A8" s="198" t="s">
        <v>343</v>
      </c>
      <c r="B8" s="187">
        <v>6</v>
      </c>
      <c r="C8" s="188" t="s">
        <v>333</v>
      </c>
      <c r="D8" s="188" t="s">
        <v>333</v>
      </c>
      <c r="E8" s="188" t="s">
        <v>326</v>
      </c>
      <c r="F8" s="188" t="s">
        <v>340</v>
      </c>
      <c r="G8" s="188" t="s">
        <v>335</v>
      </c>
      <c r="H8" s="188" t="s">
        <v>341</v>
      </c>
      <c r="I8" s="189" t="s">
        <v>320</v>
      </c>
      <c r="J8" s="189" t="s">
        <v>342</v>
      </c>
      <c r="K8" s="190"/>
      <c r="L8" s="196" t="s">
        <v>330</v>
      </c>
      <c r="M8" s="192">
        <v>6</v>
      </c>
      <c r="N8" s="197" t="s">
        <v>336</v>
      </c>
      <c r="O8" s="194"/>
      <c r="P8" s="194"/>
      <c r="Q8" s="194"/>
      <c r="R8" s="194"/>
      <c r="S8" s="194"/>
      <c r="T8" s="194"/>
      <c r="U8" s="194"/>
      <c r="V8" s="194"/>
      <c r="W8" s="194"/>
    </row>
    <row r="9">
      <c r="A9" s="198" t="s">
        <v>344</v>
      </c>
      <c r="B9" s="187">
        <v>10</v>
      </c>
      <c r="C9" s="188" t="s">
        <v>333</v>
      </c>
      <c r="D9" s="188" t="s">
        <v>333</v>
      </c>
      <c r="E9" s="188" t="s">
        <v>326</v>
      </c>
      <c r="F9" s="188" t="s">
        <v>340</v>
      </c>
      <c r="G9" s="188" t="s">
        <v>345</v>
      </c>
      <c r="H9" s="188" t="s">
        <v>341</v>
      </c>
      <c r="I9" s="189" t="s">
        <v>320</v>
      </c>
      <c r="J9" s="189" t="s">
        <v>342</v>
      </c>
      <c r="K9" s="190"/>
      <c r="L9" s="196" t="s">
        <v>330</v>
      </c>
      <c r="M9" s="192">
        <v>6</v>
      </c>
      <c r="N9" s="190" t="s">
        <v>346</v>
      </c>
      <c r="O9" s="194"/>
      <c r="P9" s="194"/>
      <c r="Q9" s="194"/>
      <c r="R9" s="194"/>
      <c r="S9" s="194"/>
      <c r="T9" s="194"/>
      <c r="U9" s="194"/>
      <c r="V9" s="194"/>
      <c r="W9" s="194"/>
    </row>
    <row r="10">
      <c r="A10" s="198" t="s">
        <v>347</v>
      </c>
      <c r="B10" s="187" t="s">
        <v>338</v>
      </c>
      <c r="C10" s="188" t="s">
        <v>333</v>
      </c>
      <c r="D10" s="188" t="s">
        <v>333</v>
      </c>
      <c r="E10" s="188" t="s">
        <v>326</v>
      </c>
      <c r="F10" s="188" t="s">
        <v>340</v>
      </c>
      <c r="G10" s="188" t="s">
        <v>345</v>
      </c>
      <c r="H10" s="188" t="s">
        <v>341</v>
      </c>
      <c r="I10" s="189" t="s">
        <v>320</v>
      </c>
      <c r="J10" s="189" t="s">
        <v>342</v>
      </c>
      <c r="K10" s="190"/>
      <c r="L10" s="196" t="s">
        <v>330</v>
      </c>
      <c r="M10" s="192">
        <v>6</v>
      </c>
      <c r="N10" s="190" t="s">
        <v>346</v>
      </c>
      <c r="O10" s="194"/>
      <c r="P10" s="194"/>
      <c r="Q10" s="194"/>
      <c r="R10" s="194"/>
      <c r="S10" s="194"/>
      <c r="T10" s="194"/>
      <c r="U10" s="194"/>
      <c r="V10" s="194"/>
      <c r="W10" s="194"/>
    </row>
    <row r="11">
      <c r="A11" s="199" t="s">
        <v>348</v>
      </c>
      <c r="B11" s="187">
        <v>10</v>
      </c>
      <c r="C11" s="188" t="s">
        <v>333</v>
      </c>
      <c r="D11" s="188" t="s">
        <v>333</v>
      </c>
      <c r="E11" s="188" t="s">
        <v>326</v>
      </c>
      <c r="F11" s="188" t="s">
        <v>340</v>
      </c>
      <c r="G11" s="188" t="s">
        <v>349</v>
      </c>
      <c r="H11" s="188" t="s">
        <v>350</v>
      </c>
      <c r="I11" s="194"/>
      <c r="J11" s="200"/>
      <c r="K11" s="190"/>
      <c r="L11" s="191"/>
      <c r="M11" s="192" t="s">
        <v>338</v>
      </c>
      <c r="N11" s="190" t="s">
        <v>346</v>
      </c>
      <c r="O11" s="194"/>
      <c r="P11" s="194"/>
      <c r="Q11" s="194"/>
      <c r="R11" s="194"/>
      <c r="S11" s="194"/>
      <c r="T11" s="194"/>
      <c r="U11" s="194"/>
      <c r="V11" s="194"/>
      <c r="W11" s="194"/>
    </row>
    <row customHeight="true" ht="20.238095238095237" r="12">
      <c r="A12" s="199" t="s">
        <v>351</v>
      </c>
      <c r="B12" s="187"/>
      <c r="C12" s="188"/>
      <c r="D12" s="188"/>
      <c r="E12" s="188"/>
      <c r="F12" s="188"/>
      <c r="G12" s="194"/>
      <c r="H12" s="188"/>
      <c r="I12" s="189" t="s">
        <v>320</v>
      </c>
      <c r="J12" s="189" t="s">
        <v>320</v>
      </c>
      <c r="K12" s="193"/>
      <c r="L12" s="201"/>
      <c r="M12" s="202"/>
      <c r="N12" s="193"/>
      <c r="O12" s="194"/>
      <c r="P12" s="194"/>
      <c r="Q12" s="194"/>
      <c r="R12" s="194"/>
      <c r="S12" s="194"/>
      <c r="T12" s="194"/>
      <c r="U12" s="194"/>
      <c r="V12" s="194"/>
      <c r="W12" s="194"/>
    </row>
    <row customHeight="true" ht="20.238095238095237" r="13">
      <c r="A13" s="199" t="s">
        <v>352</v>
      </c>
      <c r="B13" s="187"/>
      <c r="C13" s="188"/>
      <c r="D13" s="188"/>
      <c r="E13" s="188"/>
      <c r="F13" s="188"/>
      <c r="G13" s="188"/>
      <c r="H13" s="188"/>
      <c r="I13" s="189" t="s">
        <v>320</v>
      </c>
      <c r="J13" s="189" t="s">
        <v>342</v>
      </c>
      <c r="K13" s="193"/>
      <c r="L13" s="201"/>
      <c r="M13" s="202"/>
      <c r="N13" s="193"/>
      <c r="O13" s="194"/>
      <c r="P13" s="194"/>
      <c r="Q13" s="194"/>
      <c r="R13" s="194"/>
      <c r="S13" s="194"/>
      <c r="T13" s="194"/>
      <c r="U13" s="194"/>
      <c r="V13" s="194"/>
      <c r="W13" s="194"/>
    </row>
    <row r="14">
      <c r="A14" s="203" t="s">
        <v>353</v>
      </c>
      <c r="B14" s="187" t="s">
        <v>338</v>
      </c>
      <c r="C14" s="188" t="s">
        <v>333</v>
      </c>
      <c r="D14" s="188" t="s">
        <v>333</v>
      </c>
      <c r="E14" s="188" t="s">
        <v>326</v>
      </c>
      <c r="F14" s="188" t="s">
        <v>340</v>
      </c>
      <c r="G14" s="188" t="s">
        <v>349</v>
      </c>
      <c r="H14" s="188" t="s">
        <v>350</v>
      </c>
      <c r="I14" s="194"/>
      <c r="J14" s="200"/>
      <c r="K14" s="190"/>
      <c r="L14" s="191"/>
      <c r="M14" s="192" t="s">
        <v>338</v>
      </c>
      <c r="N14" s="190" t="s">
        <v>354</v>
      </c>
      <c r="O14" s="194"/>
      <c r="P14" s="194"/>
      <c r="Q14" s="194"/>
      <c r="R14" s="194"/>
      <c r="S14" s="194"/>
      <c r="T14" s="194"/>
      <c r="U14" s="194"/>
      <c r="V14" s="194"/>
      <c r="W14" s="194"/>
    </row>
    <row customHeight="true" ht="20.238095238095237" r="15">
      <c r="A15" s="203" t="s">
        <v>351</v>
      </c>
      <c r="B15" s="187"/>
      <c r="C15" s="188"/>
      <c r="D15" s="188"/>
      <c r="E15" s="188"/>
      <c r="F15" s="188"/>
      <c r="G15" s="194"/>
      <c r="H15" s="188"/>
      <c r="I15" s="189" t="s">
        <v>320</v>
      </c>
      <c r="J15" s="189" t="s">
        <v>320</v>
      </c>
      <c r="K15" s="193"/>
      <c r="L15" s="201"/>
      <c r="M15" s="202"/>
      <c r="N15" s="193"/>
      <c r="O15" s="194"/>
      <c r="P15" s="194"/>
      <c r="Q15" s="194"/>
      <c r="R15" s="194"/>
      <c r="S15" s="194"/>
      <c r="T15" s="194"/>
      <c r="U15" s="194"/>
      <c r="V15" s="194"/>
      <c r="W15" s="194"/>
    </row>
    <row customHeight="true" ht="20.238095238095237" r="16">
      <c r="A16" s="203" t="s">
        <v>352</v>
      </c>
      <c r="B16" s="187"/>
      <c r="C16" s="188"/>
      <c r="D16" s="188"/>
      <c r="E16" s="188"/>
      <c r="F16" s="188"/>
      <c r="G16" s="194"/>
      <c r="H16" s="188"/>
      <c r="I16" s="189" t="s">
        <v>320</v>
      </c>
      <c r="J16" s="189" t="s">
        <v>342</v>
      </c>
      <c r="K16" s="193"/>
      <c r="L16" s="201"/>
      <c r="M16" s="202"/>
      <c r="N16" s="193"/>
      <c r="O16" s="194"/>
      <c r="P16" s="194"/>
      <c r="Q16" s="194"/>
      <c r="R16" s="194"/>
      <c r="S16" s="194"/>
      <c r="T16" s="194"/>
      <c r="U16" s="194"/>
      <c r="V16" s="194"/>
      <c r="W16" s="194"/>
    </row>
    <row r="17">
      <c r="A17" s="204" t="s">
        <v>355</v>
      </c>
      <c r="B17" s="187">
        <v>4</v>
      </c>
      <c r="C17" s="188" t="s">
        <v>333</v>
      </c>
      <c r="D17" s="188" t="s">
        <v>333</v>
      </c>
      <c r="E17" s="188" t="s">
        <v>326</v>
      </c>
      <c r="F17" s="188" t="s">
        <v>318</v>
      </c>
      <c r="G17" s="188" t="s">
        <v>356</v>
      </c>
      <c r="H17" s="188" t="s">
        <v>341</v>
      </c>
      <c r="I17" s="189" t="s">
        <v>320</v>
      </c>
      <c r="J17" s="189" t="s">
        <v>342</v>
      </c>
      <c r="K17" s="190"/>
      <c r="L17" s="191" t="s">
        <v>322</v>
      </c>
      <c r="M17" s="192">
        <v>3</v>
      </c>
      <c r="N17" s="190" t="s">
        <v>356</v>
      </c>
      <c r="O17" s="194"/>
      <c r="P17" s="194"/>
      <c r="Q17" s="194"/>
      <c r="R17" s="194"/>
      <c r="S17" s="194"/>
      <c r="T17" s="194"/>
      <c r="U17" s="194"/>
      <c r="V17" s="194"/>
      <c r="W17" s="194"/>
    </row>
    <row r="18">
      <c r="A18" s="205"/>
      <c r="B18" s="205"/>
      <c r="C18" s="194"/>
      <c r="D18" s="194"/>
      <c r="E18" s="194"/>
      <c r="F18" s="194"/>
      <c r="G18" s="194"/>
      <c r="H18" s="194"/>
      <c r="I18" s="194"/>
      <c r="J18" s="200"/>
      <c r="K18" s="193"/>
      <c r="L18" s="201"/>
      <c r="M18" s="202"/>
      <c r="N18" s="193"/>
      <c r="O18" s="194"/>
      <c r="P18" s="194"/>
      <c r="Q18" s="194"/>
      <c r="R18" s="194"/>
      <c r="S18" s="194"/>
      <c r="T18" s="194"/>
      <c r="U18" s="194"/>
      <c r="V18" s="194"/>
      <c r="W18" s="194"/>
    </row>
    <row r="19">
      <c r="A19" s="205"/>
      <c r="B19" s="205"/>
      <c r="C19" s="194"/>
      <c r="D19" s="194"/>
      <c r="E19" s="194"/>
      <c r="F19" s="194"/>
      <c r="G19" s="194"/>
      <c r="H19" s="194"/>
      <c r="I19" s="194"/>
      <c r="J19" s="200"/>
      <c r="K19" s="193"/>
      <c r="L19" s="201"/>
      <c r="M19" s="202"/>
      <c r="N19" s="193"/>
      <c r="O19" s="194"/>
      <c r="P19" s="194"/>
      <c r="Q19" s="194"/>
      <c r="R19" s="194"/>
      <c r="S19" s="194"/>
      <c r="T19" s="194"/>
      <c r="U19" s="194"/>
      <c r="V19" s="194"/>
      <c r="W19" s="194"/>
    </row>
    <row r="20">
      <c r="A20" s="205"/>
      <c r="B20" s="205"/>
      <c r="C20" s="194"/>
      <c r="D20" s="194"/>
      <c r="E20" s="194"/>
      <c r="F20" s="194"/>
      <c r="G20" s="194"/>
      <c r="H20" s="194"/>
      <c r="I20" s="194"/>
      <c r="J20" s="200"/>
      <c r="K20" s="193"/>
      <c r="L20" s="201"/>
      <c r="M20" s="202"/>
      <c r="N20" s="193"/>
      <c r="O20" s="194"/>
      <c r="P20" s="194"/>
      <c r="Q20" s="194"/>
      <c r="R20" s="194"/>
      <c r="S20" s="194"/>
      <c r="T20" s="194"/>
      <c r="U20" s="194"/>
      <c r="V20" s="194"/>
      <c r="W20" s="194"/>
    </row>
    <row r="21">
      <c r="A21" s="205"/>
      <c r="B21" s="205"/>
      <c r="C21" s="194"/>
      <c r="D21" s="194"/>
      <c r="E21" s="194"/>
      <c r="F21" s="194"/>
      <c r="G21" s="194"/>
      <c r="H21" s="194"/>
      <c r="I21" s="194"/>
      <c r="J21" s="200"/>
      <c r="K21" s="193"/>
      <c r="L21" s="201"/>
      <c r="M21" s="202"/>
      <c r="N21" s="193"/>
      <c r="O21" s="194"/>
      <c r="P21" s="194"/>
      <c r="Q21" s="194"/>
      <c r="R21" s="194"/>
      <c r="S21" s="194"/>
      <c r="T21" s="194"/>
      <c r="U21" s="194"/>
      <c r="V21" s="194"/>
      <c r="W21" s="194"/>
    </row>
    <row r="22">
      <c r="A22" s="205"/>
      <c r="B22" s="205"/>
      <c r="C22" s="194"/>
      <c r="D22" s="194"/>
      <c r="E22" s="194"/>
      <c r="F22" s="194"/>
      <c r="G22" s="194"/>
      <c r="H22" s="194"/>
      <c r="I22" s="194"/>
      <c r="J22" s="200"/>
      <c r="K22" s="193"/>
      <c r="L22" s="201"/>
      <c r="M22" s="202"/>
      <c r="N22" s="193"/>
      <c r="O22" s="194"/>
      <c r="P22" s="194"/>
      <c r="Q22" s="194"/>
      <c r="R22" s="194"/>
      <c r="S22" s="194"/>
      <c r="T22" s="194"/>
      <c r="U22" s="194"/>
      <c r="V22" s="194"/>
      <c r="W22" s="194"/>
    </row>
    <row r="23">
      <c r="A23" s="205"/>
      <c r="B23" s="205"/>
      <c r="C23" s="194"/>
      <c r="D23" s="194"/>
      <c r="E23" s="194"/>
      <c r="F23" s="194"/>
      <c r="G23" s="194"/>
      <c r="H23" s="194"/>
      <c r="I23" s="194"/>
      <c r="J23" s="200"/>
      <c r="K23" s="193"/>
      <c r="L23" s="201"/>
      <c r="M23" s="202"/>
      <c r="N23" s="193"/>
      <c r="O23" s="194"/>
      <c r="P23" s="194"/>
      <c r="Q23" s="194"/>
      <c r="R23" s="194"/>
      <c r="S23" s="194"/>
      <c r="T23" s="194"/>
      <c r="U23" s="194"/>
      <c r="V23" s="194"/>
      <c r="W23" s="194"/>
    </row>
    <row r="24">
      <c r="A24" s="205"/>
      <c r="B24" s="205"/>
      <c r="C24" s="194"/>
      <c r="D24" s="194"/>
      <c r="E24" s="194"/>
      <c r="F24" s="194"/>
      <c r="G24" s="194"/>
      <c r="H24" s="194"/>
      <c r="I24" s="194"/>
      <c r="J24" s="200"/>
      <c r="K24" s="193"/>
      <c r="L24" s="201"/>
      <c r="M24" s="202"/>
      <c r="N24" s="193"/>
      <c r="O24" s="194"/>
      <c r="P24" s="194"/>
      <c r="Q24" s="194"/>
      <c r="R24" s="194"/>
      <c r="S24" s="194"/>
      <c r="T24" s="194"/>
      <c r="U24" s="194"/>
      <c r="V24" s="194"/>
      <c r="W24" s="194"/>
    </row>
    <row r="25">
      <c r="A25" s="205"/>
      <c r="B25" s="205"/>
      <c r="C25" s="194"/>
      <c r="D25" s="194"/>
      <c r="E25" s="194"/>
      <c r="F25" s="194"/>
      <c r="G25" s="194"/>
      <c r="H25" s="194"/>
      <c r="I25" s="194"/>
      <c r="J25" s="200"/>
      <c r="K25" s="193"/>
      <c r="L25" s="201"/>
      <c r="M25" s="202"/>
      <c r="N25" s="193"/>
      <c r="O25" s="194"/>
      <c r="P25" s="194"/>
      <c r="Q25" s="194"/>
      <c r="R25" s="194"/>
      <c r="S25" s="194"/>
      <c r="T25" s="194"/>
      <c r="U25" s="194"/>
      <c r="V25" s="194"/>
      <c r="W25" s="194"/>
    </row>
    <row r="26">
      <c r="A26" s="205"/>
      <c r="B26" s="205"/>
      <c r="C26" s="194"/>
      <c r="D26" s="194"/>
      <c r="E26" s="194"/>
      <c r="F26" s="194"/>
      <c r="G26" s="194"/>
      <c r="H26" s="194"/>
      <c r="I26" s="194"/>
      <c r="J26" s="200"/>
      <c r="K26" s="193"/>
      <c r="L26" s="201"/>
      <c r="M26" s="202"/>
      <c r="N26" s="193"/>
      <c r="O26" s="194"/>
      <c r="P26" s="194"/>
      <c r="Q26" s="194"/>
      <c r="R26" s="194"/>
      <c r="S26" s="194"/>
      <c r="T26" s="194"/>
      <c r="U26" s="194"/>
      <c r="V26" s="194"/>
      <c r="W26" s="194"/>
    </row>
    <row r="27">
      <c r="A27" s="205"/>
      <c r="B27" s="205"/>
      <c r="C27" s="194"/>
      <c r="D27" s="194"/>
      <c r="E27" s="194"/>
      <c r="F27" s="194"/>
      <c r="G27" s="194"/>
      <c r="H27" s="194"/>
      <c r="I27" s="194"/>
      <c r="J27" s="200"/>
      <c r="K27" s="193"/>
      <c r="L27" s="201"/>
      <c r="M27" s="202"/>
      <c r="N27" s="193"/>
      <c r="O27" s="194"/>
      <c r="P27" s="194"/>
      <c r="Q27" s="194"/>
      <c r="R27" s="194"/>
      <c r="S27" s="194"/>
      <c r="T27" s="194"/>
      <c r="U27" s="194"/>
      <c r="V27" s="194"/>
      <c r="W27" s="194"/>
    </row>
    <row r="28">
      <c r="A28" s="205"/>
      <c r="B28" s="205"/>
      <c r="C28" s="194"/>
      <c r="D28" s="194"/>
      <c r="E28" s="194"/>
      <c r="F28" s="194"/>
      <c r="G28" s="194"/>
      <c r="H28" s="194"/>
      <c r="I28" s="194"/>
      <c r="J28" s="200"/>
      <c r="K28" s="193"/>
      <c r="L28" s="201"/>
      <c r="M28" s="202"/>
      <c r="N28" s="193"/>
      <c r="O28" s="194"/>
      <c r="P28" s="194"/>
      <c r="Q28" s="194"/>
      <c r="R28" s="194"/>
      <c r="S28" s="194"/>
      <c r="T28" s="194"/>
      <c r="U28" s="194"/>
      <c r="V28" s="194"/>
      <c r="W28" s="194"/>
    </row>
    <row r="29">
      <c r="A29" s="205"/>
      <c r="B29" s="205"/>
      <c r="C29" s="194"/>
      <c r="D29" s="194"/>
      <c r="E29" s="194"/>
      <c r="F29" s="194"/>
      <c r="G29" s="194"/>
      <c r="H29" s="194"/>
      <c r="I29" s="194"/>
      <c r="J29" s="200"/>
      <c r="K29" s="193"/>
      <c r="L29" s="201"/>
      <c r="M29" s="202"/>
      <c r="N29" s="193"/>
      <c r="O29" s="194"/>
      <c r="P29" s="194"/>
      <c r="Q29" s="194"/>
      <c r="R29" s="194"/>
      <c r="S29" s="194"/>
      <c r="T29" s="194"/>
      <c r="U29" s="194"/>
      <c r="V29" s="194"/>
      <c r="W29" s="194"/>
    </row>
    <row r="30">
      <c r="A30" s="205"/>
      <c r="B30" s="205"/>
      <c r="C30" s="194"/>
      <c r="D30" s="194"/>
      <c r="E30" s="194"/>
      <c r="F30" s="194"/>
      <c r="G30" s="194"/>
      <c r="H30" s="194"/>
      <c r="I30" s="194"/>
      <c r="J30" s="200"/>
      <c r="K30" s="193"/>
      <c r="L30" s="201"/>
      <c r="M30" s="202"/>
      <c r="N30" s="193"/>
      <c r="O30" s="194"/>
      <c r="P30" s="194"/>
      <c r="Q30" s="194"/>
      <c r="R30" s="194"/>
      <c r="S30" s="194"/>
      <c r="T30" s="194"/>
      <c r="U30" s="194"/>
      <c r="V30" s="194"/>
      <c r="W30" s="194"/>
    </row>
    <row r="31">
      <c r="A31" s="205"/>
      <c r="B31" s="205"/>
      <c r="C31" s="194"/>
      <c r="D31" s="194"/>
      <c r="E31" s="194"/>
      <c r="F31" s="194"/>
      <c r="G31" s="194"/>
      <c r="H31" s="194"/>
      <c r="I31" s="194"/>
      <c r="J31" s="200"/>
      <c r="K31" s="193"/>
      <c r="L31" s="201"/>
      <c r="M31" s="202"/>
      <c r="N31" s="193"/>
      <c r="O31" s="194"/>
      <c r="P31" s="194"/>
      <c r="Q31" s="194"/>
      <c r="R31" s="194"/>
      <c r="S31" s="194"/>
      <c r="T31" s="194"/>
      <c r="U31" s="194"/>
      <c r="V31" s="194"/>
      <c r="W31" s="194"/>
    </row>
    <row r="32">
      <c r="A32" s="205"/>
      <c r="B32" s="205"/>
      <c r="C32" s="194"/>
      <c r="D32" s="194"/>
      <c r="E32" s="194"/>
      <c r="F32" s="194"/>
      <c r="G32" s="194"/>
      <c r="H32" s="194"/>
      <c r="I32" s="194"/>
      <c r="J32" s="200"/>
      <c r="K32" s="193"/>
      <c r="L32" s="201"/>
      <c r="M32" s="202"/>
      <c r="N32" s="193"/>
      <c r="O32" s="194"/>
      <c r="P32" s="194"/>
      <c r="Q32" s="194"/>
      <c r="R32" s="194"/>
      <c r="S32" s="194"/>
      <c r="T32" s="194"/>
      <c r="U32" s="194"/>
      <c r="V32" s="194"/>
      <c r="W32" s="194"/>
    </row>
    <row r="33">
      <c r="A33" s="205"/>
      <c r="B33" s="205"/>
      <c r="C33" s="194"/>
      <c r="D33" s="194"/>
      <c r="E33" s="194"/>
      <c r="F33" s="194"/>
      <c r="G33" s="194"/>
      <c r="H33" s="194"/>
      <c r="I33" s="194"/>
      <c r="J33" s="200"/>
      <c r="K33" s="193"/>
      <c r="L33" s="201"/>
      <c r="M33" s="202"/>
      <c r="N33" s="193"/>
      <c r="O33" s="194"/>
      <c r="P33" s="194"/>
      <c r="Q33" s="194"/>
      <c r="R33" s="194"/>
      <c r="S33" s="194"/>
      <c r="T33" s="194"/>
      <c r="U33" s="194"/>
      <c r="V33" s="194"/>
      <c r="W33" s="194"/>
    </row>
    <row r="34">
      <c r="A34" s="205"/>
      <c r="B34" s="205"/>
      <c r="C34" s="194"/>
      <c r="D34" s="194"/>
      <c r="E34" s="194"/>
      <c r="F34" s="194"/>
      <c r="G34" s="194"/>
      <c r="H34" s="194"/>
      <c r="I34" s="194"/>
      <c r="J34" s="200"/>
      <c r="K34" s="193"/>
      <c r="L34" s="201"/>
      <c r="M34" s="202"/>
      <c r="N34" s="193"/>
      <c r="O34" s="194"/>
      <c r="P34" s="194"/>
      <c r="Q34" s="194"/>
      <c r="R34" s="194"/>
      <c r="S34" s="194"/>
      <c r="T34" s="194"/>
      <c r="U34" s="194"/>
      <c r="V34" s="194"/>
      <c r="W34" s="194"/>
    </row>
    <row r="35">
      <c r="A35" s="205"/>
      <c r="B35" s="205"/>
      <c r="C35" s="194"/>
      <c r="D35" s="194"/>
      <c r="E35" s="194"/>
      <c r="F35" s="194"/>
      <c r="G35" s="194"/>
      <c r="H35" s="194"/>
      <c r="I35" s="194"/>
      <c r="J35" s="200"/>
      <c r="K35" s="193"/>
      <c r="L35" s="201"/>
      <c r="M35" s="202"/>
      <c r="N35" s="193"/>
      <c r="O35" s="194"/>
      <c r="P35" s="194"/>
      <c r="Q35" s="194"/>
      <c r="R35" s="194"/>
      <c r="S35" s="194"/>
      <c r="T35" s="194"/>
      <c r="U35" s="194"/>
      <c r="V35" s="194"/>
      <c r="W35" s="194"/>
    </row>
    <row r="36">
      <c r="A36" s="205"/>
      <c r="B36" s="205"/>
      <c r="C36" s="194"/>
      <c r="D36" s="194"/>
      <c r="E36" s="194"/>
      <c r="F36" s="194"/>
      <c r="G36" s="194"/>
      <c r="H36" s="194"/>
      <c r="I36" s="194"/>
      <c r="J36" s="200"/>
      <c r="K36" s="193"/>
      <c r="L36" s="201"/>
      <c r="M36" s="202"/>
      <c r="N36" s="193"/>
      <c r="O36" s="194"/>
      <c r="P36" s="194"/>
      <c r="Q36" s="194"/>
      <c r="R36" s="194"/>
      <c r="S36" s="194"/>
      <c r="T36" s="194"/>
      <c r="U36" s="194"/>
      <c r="V36" s="194"/>
      <c r="W36" s="194"/>
    </row>
    <row r="37">
      <c r="A37" s="205"/>
      <c r="B37" s="205"/>
      <c r="C37" s="194"/>
      <c r="D37" s="194"/>
      <c r="E37" s="194"/>
      <c r="F37" s="194"/>
      <c r="G37" s="194"/>
      <c r="H37" s="194"/>
      <c r="I37" s="194"/>
      <c r="J37" s="200"/>
      <c r="K37" s="193"/>
      <c r="L37" s="201"/>
      <c r="M37" s="202"/>
      <c r="N37" s="193"/>
      <c r="O37" s="194"/>
      <c r="P37" s="194"/>
      <c r="Q37" s="194"/>
      <c r="R37" s="194"/>
      <c r="S37" s="194"/>
      <c r="T37" s="194"/>
      <c r="U37" s="194"/>
      <c r="V37" s="194"/>
      <c r="W37" s="194"/>
    </row>
    <row r="38">
      <c r="A38" s="205"/>
      <c r="B38" s="205"/>
      <c r="C38" s="194"/>
      <c r="D38" s="194"/>
      <c r="E38" s="194"/>
      <c r="F38" s="194"/>
      <c r="G38" s="194"/>
      <c r="H38" s="194"/>
      <c r="I38" s="194"/>
      <c r="J38" s="200"/>
      <c r="K38" s="193"/>
      <c r="L38" s="201"/>
      <c r="M38" s="202"/>
      <c r="N38" s="193"/>
      <c r="O38" s="194"/>
      <c r="P38" s="194"/>
      <c r="Q38" s="194"/>
      <c r="R38" s="194"/>
      <c r="S38" s="194"/>
      <c r="T38" s="194"/>
      <c r="U38" s="194"/>
      <c r="V38" s="194"/>
      <c r="W38" s="194"/>
    </row>
    <row r="39">
      <c r="A39" s="205"/>
      <c r="B39" s="205"/>
      <c r="C39" s="194"/>
      <c r="D39" s="194"/>
      <c r="E39" s="194"/>
      <c r="F39" s="194"/>
      <c r="G39" s="194"/>
      <c r="H39" s="194"/>
      <c r="I39" s="194"/>
      <c r="J39" s="200"/>
      <c r="K39" s="193"/>
      <c r="L39" s="201"/>
      <c r="M39" s="202"/>
      <c r="N39" s="193"/>
      <c r="O39" s="194"/>
      <c r="P39" s="194"/>
      <c r="Q39" s="194"/>
      <c r="R39" s="194"/>
      <c r="S39" s="194"/>
      <c r="T39" s="194"/>
      <c r="U39" s="194"/>
      <c r="V39" s="194"/>
      <c r="W39" s="194"/>
    </row>
    <row r="40">
      <c r="A40" s="205"/>
      <c r="B40" s="205"/>
      <c r="C40" s="194"/>
      <c r="D40" s="194"/>
      <c r="E40" s="194"/>
      <c r="F40" s="194"/>
      <c r="G40" s="194"/>
      <c r="H40" s="194"/>
      <c r="I40" s="194"/>
      <c r="J40" s="200"/>
      <c r="K40" s="193"/>
      <c r="L40" s="201"/>
      <c r="M40" s="202"/>
      <c r="N40" s="193"/>
      <c r="O40" s="194"/>
      <c r="P40" s="194"/>
      <c r="Q40" s="194"/>
      <c r="R40" s="194"/>
      <c r="S40" s="194"/>
      <c r="T40" s="194"/>
      <c r="U40" s="194"/>
      <c r="V40" s="194"/>
      <c r="W40" s="194"/>
    </row>
    <row r="41">
      <c r="A41" s="205"/>
      <c r="B41" s="205"/>
      <c r="C41" s="194"/>
      <c r="D41" s="194"/>
      <c r="E41" s="194"/>
      <c r="F41" s="194"/>
      <c r="G41" s="194"/>
      <c r="H41" s="194"/>
      <c r="I41" s="194"/>
      <c r="J41" s="200"/>
      <c r="K41" s="193"/>
      <c r="L41" s="201"/>
      <c r="M41" s="202"/>
      <c r="N41" s="193"/>
      <c r="O41" s="194"/>
      <c r="P41" s="194"/>
      <c r="Q41" s="194"/>
      <c r="R41" s="194"/>
      <c r="S41" s="194"/>
      <c r="T41" s="194"/>
      <c r="U41" s="194"/>
      <c r="V41" s="194"/>
      <c r="W41" s="194"/>
    </row>
    <row r="42">
      <c r="A42" s="205"/>
      <c r="B42" s="205"/>
      <c r="C42" s="194"/>
      <c r="D42" s="194"/>
      <c r="E42" s="194"/>
      <c r="F42" s="194"/>
      <c r="G42" s="194"/>
      <c r="H42" s="194"/>
      <c r="I42" s="194"/>
      <c r="J42" s="200"/>
      <c r="K42" s="193"/>
      <c r="L42" s="201"/>
      <c r="M42" s="202"/>
      <c r="N42" s="193"/>
      <c r="O42" s="194"/>
      <c r="P42" s="194"/>
      <c r="Q42" s="194"/>
      <c r="R42" s="194"/>
      <c r="S42" s="194"/>
      <c r="T42" s="194"/>
      <c r="U42" s="194"/>
      <c r="V42" s="194"/>
      <c r="W42" s="194"/>
    </row>
    <row r="43">
      <c r="A43" s="205"/>
      <c r="B43" s="205"/>
      <c r="C43" s="194"/>
      <c r="D43" s="194"/>
      <c r="E43" s="194"/>
      <c r="F43" s="194"/>
      <c r="G43" s="194"/>
      <c r="H43" s="194"/>
      <c r="I43" s="194"/>
      <c r="J43" s="200"/>
      <c r="K43" s="193"/>
      <c r="L43" s="201"/>
      <c r="M43" s="202"/>
      <c r="N43" s="193"/>
      <c r="O43" s="194"/>
      <c r="P43" s="194"/>
      <c r="Q43" s="194"/>
      <c r="R43" s="194"/>
      <c r="S43" s="194"/>
      <c r="T43" s="194"/>
      <c r="U43" s="194"/>
      <c r="V43" s="194"/>
      <c r="W43" s="194"/>
    </row>
    <row r="44">
      <c r="A44" s="205"/>
      <c r="B44" s="205"/>
      <c r="C44" s="194"/>
      <c r="D44" s="194"/>
      <c r="E44" s="194"/>
      <c r="F44" s="194"/>
      <c r="G44" s="194"/>
      <c r="H44" s="194"/>
      <c r="I44" s="194"/>
      <c r="J44" s="200"/>
      <c r="K44" s="193"/>
      <c r="L44" s="201"/>
      <c r="M44" s="202"/>
      <c r="N44" s="193"/>
      <c r="O44" s="194"/>
      <c r="P44" s="194"/>
      <c r="Q44" s="194"/>
      <c r="R44" s="194"/>
      <c r="S44" s="194"/>
      <c r="T44" s="194"/>
      <c r="U44" s="194"/>
      <c r="V44" s="194"/>
      <c r="W44" s="194"/>
    </row>
    <row r="45">
      <c r="A45" s="205"/>
      <c r="B45" s="205"/>
      <c r="C45" s="194"/>
      <c r="D45" s="194"/>
      <c r="E45" s="194"/>
      <c r="F45" s="194"/>
      <c r="G45" s="194"/>
      <c r="H45" s="194"/>
      <c r="I45" s="194"/>
      <c r="J45" s="200"/>
      <c r="K45" s="193"/>
      <c r="L45" s="201"/>
      <c r="M45" s="202"/>
      <c r="N45" s="193"/>
      <c r="O45" s="194"/>
      <c r="P45" s="194"/>
      <c r="Q45" s="194"/>
      <c r="R45" s="194"/>
      <c r="S45" s="194"/>
      <c r="T45" s="194"/>
      <c r="U45" s="194"/>
      <c r="V45" s="194"/>
      <c r="W45" s="194"/>
    </row>
    <row r="46">
      <c r="A46" s="205"/>
      <c r="B46" s="205"/>
      <c r="C46" s="194"/>
      <c r="D46" s="194"/>
      <c r="E46" s="194"/>
      <c r="F46" s="194"/>
      <c r="G46" s="194"/>
      <c r="H46" s="194"/>
      <c r="I46" s="194"/>
      <c r="J46" s="200"/>
      <c r="K46" s="193"/>
      <c r="L46" s="201"/>
      <c r="M46" s="202"/>
      <c r="N46" s="193"/>
      <c r="O46" s="194"/>
      <c r="P46" s="194"/>
      <c r="Q46" s="194"/>
      <c r="R46" s="194"/>
      <c r="S46" s="194"/>
      <c r="T46" s="194"/>
      <c r="U46" s="194"/>
      <c r="V46" s="194"/>
      <c r="W46" s="194"/>
    </row>
    <row r="47">
      <c r="A47" s="205"/>
      <c r="B47" s="205"/>
      <c r="C47" s="194"/>
      <c r="D47" s="194"/>
      <c r="E47" s="194"/>
      <c r="F47" s="194"/>
      <c r="G47" s="194"/>
      <c r="H47" s="194"/>
      <c r="I47" s="194"/>
      <c r="J47" s="200"/>
      <c r="K47" s="193"/>
      <c r="L47" s="201"/>
      <c r="M47" s="202"/>
      <c r="N47" s="193"/>
      <c r="O47" s="194"/>
      <c r="P47" s="194"/>
      <c r="Q47" s="194"/>
      <c r="R47" s="194"/>
      <c r="S47" s="194"/>
      <c r="T47" s="194"/>
      <c r="U47" s="194"/>
      <c r="V47" s="194"/>
      <c r="W47" s="194"/>
    </row>
    <row r="48">
      <c r="A48" s="205"/>
      <c r="B48" s="205"/>
      <c r="C48" s="194"/>
      <c r="D48" s="194"/>
      <c r="E48" s="194"/>
      <c r="F48" s="194"/>
      <c r="G48" s="194"/>
      <c r="H48" s="194"/>
      <c r="I48" s="194"/>
      <c r="J48" s="200"/>
      <c r="K48" s="193"/>
      <c r="L48" s="201"/>
      <c r="M48" s="202"/>
      <c r="N48" s="193"/>
      <c r="O48" s="194"/>
      <c r="P48" s="194"/>
      <c r="Q48" s="194"/>
      <c r="R48" s="194"/>
      <c r="S48" s="194"/>
      <c r="T48" s="194"/>
      <c r="U48" s="194"/>
      <c r="V48" s="194"/>
      <c r="W48" s="194"/>
    </row>
    <row r="49">
      <c r="A49" s="205"/>
      <c r="B49" s="205"/>
      <c r="C49" s="194"/>
      <c r="D49" s="194"/>
      <c r="E49" s="194"/>
      <c r="F49" s="194"/>
      <c r="G49" s="194"/>
      <c r="H49" s="194"/>
      <c r="I49" s="194"/>
      <c r="J49" s="200"/>
      <c r="K49" s="193"/>
      <c r="L49" s="201"/>
      <c r="M49" s="202"/>
      <c r="N49" s="193"/>
      <c r="O49" s="194"/>
      <c r="P49" s="194"/>
      <c r="Q49" s="194"/>
      <c r="R49" s="194"/>
      <c r="S49" s="194"/>
      <c r="T49" s="194"/>
      <c r="U49" s="194"/>
      <c r="V49" s="194"/>
      <c r="W49" s="194"/>
    </row>
    <row r="50">
      <c r="A50" s="205"/>
      <c r="B50" s="205"/>
      <c r="C50" s="194"/>
      <c r="D50" s="194"/>
      <c r="E50" s="194"/>
      <c r="F50" s="194"/>
      <c r="G50" s="194"/>
      <c r="H50" s="194"/>
      <c r="I50" s="194"/>
      <c r="J50" s="200"/>
      <c r="K50" s="193"/>
      <c r="L50" s="201"/>
      <c r="M50" s="202"/>
      <c r="N50" s="193"/>
      <c r="O50" s="194"/>
      <c r="P50" s="194"/>
      <c r="Q50" s="194"/>
      <c r="R50" s="194"/>
      <c r="S50" s="194"/>
      <c r="T50" s="194"/>
      <c r="U50" s="194"/>
      <c r="V50" s="194"/>
      <c r="W50" s="194"/>
    </row>
    <row r="51">
      <c r="A51" s="205"/>
      <c r="B51" s="205"/>
      <c r="C51" s="194"/>
      <c r="D51" s="194"/>
      <c r="E51" s="194"/>
      <c r="F51" s="194"/>
      <c r="G51" s="194"/>
      <c r="H51" s="194"/>
      <c r="I51" s="194"/>
      <c r="J51" s="200"/>
      <c r="K51" s="193"/>
      <c r="L51" s="201"/>
      <c r="M51" s="202"/>
      <c r="N51" s="193"/>
      <c r="O51" s="194"/>
      <c r="P51" s="194"/>
      <c r="Q51" s="194"/>
      <c r="R51" s="194"/>
      <c r="S51" s="194"/>
      <c r="T51" s="194"/>
      <c r="U51" s="194"/>
      <c r="V51" s="194"/>
      <c r="W51" s="194"/>
    </row>
    <row r="52">
      <c r="A52" s="205"/>
      <c r="B52" s="205"/>
      <c r="C52" s="194"/>
      <c r="D52" s="194"/>
      <c r="E52" s="194"/>
      <c r="F52" s="194"/>
      <c r="G52" s="194"/>
      <c r="H52" s="194"/>
      <c r="I52" s="194"/>
      <c r="J52" s="200"/>
      <c r="K52" s="193"/>
      <c r="L52" s="201"/>
      <c r="M52" s="202"/>
      <c r="N52" s="193"/>
      <c r="O52" s="194"/>
      <c r="P52" s="194"/>
      <c r="Q52" s="194"/>
      <c r="R52" s="194"/>
      <c r="S52" s="194"/>
      <c r="T52" s="194"/>
      <c r="U52" s="194"/>
      <c r="V52" s="194"/>
      <c r="W52" s="194"/>
    </row>
    <row r="53">
      <c r="A53" s="205"/>
      <c r="B53" s="205"/>
      <c r="C53" s="194"/>
      <c r="D53" s="194"/>
      <c r="E53" s="194"/>
      <c r="F53" s="194"/>
      <c r="G53" s="194"/>
      <c r="H53" s="194"/>
      <c r="I53" s="194"/>
      <c r="J53" s="200"/>
      <c r="K53" s="193"/>
      <c r="L53" s="201"/>
      <c r="M53" s="202"/>
      <c r="N53" s="193"/>
      <c r="O53" s="194"/>
      <c r="P53" s="194"/>
      <c r="Q53" s="194"/>
      <c r="R53" s="194"/>
      <c r="S53" s="194"/>
      <c r="T53" s="194"/>
      <c r="U53" s="194"/>
      <c r="V53" s="194"/>
      <c r="W53" s="194"/>
    </row>
    <row r="54">
      <c r="A54" s="205"/>
      <c r="B54" s="205"/>
      <c r="C54" s="194"/>
      <c r="D54" s="194"/>
      <c r="E54" s="194"/>
      <c r="F54" s="194"/>
      <c r="G54" s="194"/>
      <c r="H54" s="194"/>
      <c r="I54" s="194"/>
      <c r="J54" s="200"/>
      <c r="K54" s="193"/>
      <c r="L54" s="201"/>
      <c r="M54" s="202"/>
      <c r="N54" s="193"/>
      <c r="O54" s="194"/>
      <c r="P54" s="194"/>
      <c r="Q54" s="194"/>
      <c r="R54" s="194"/>
      <c r="S54" s="194"/>
      <c r="T54" s="194"/>
      <c r="U54" s="194"/>
      <c r="V54" s="194"/>
      <c r="W54" s="194"/>
    </row>
    <row r="55">
      <c r="A55" s="205"/>
      <c r="B55" s="205"/>
      <c r="C55" s="194"/>
      <c r="D55" s="194"/>
      <c r="E55" s="194"/>
      <c r="F55" s="194"/>
      <c r="G55" s="194"/>
      <c r="H55" s="194"/>
      <c r="I55" s="194"/>
      <c r="J55" s="200"/>
      <c r="K55" s="193"/>
      <c r="L55" s="201"/>
      <c r="M55" s="202"/>
      <c r="N55" s="193"/>
      <c r="O55" s="194"/>
      <c r="P55" s="194"/>
      <c r="Q55" s="194"/>
      <c r="R55" s="194"/>
      <c r="S55" s="194"/>
      <c r="T55" s="194"/>
      <c r="U55" s="194"/>
      <c r="V55" s="194"/>
      <c r="W55" s="194"/>
    </row>
    <row r="56">
      <c r="A56" s="205"/>
      <c r="B56" s="205"/>
      <c r="C56" s="194"/>
      <c r="D56" s="194"/>
      <c r="E56" s="194"/>
      <c r="F56" s="194"/>
      <c r="G56" s="194"/>
      <c r="H56" s="194"/>
      <c r="I56" s="194"/>
      <c r="J56" s="200"/>
      <c r="K56" s="193"/>
      <c r="L56" s="201"/>
      <c r="M56" s="202"/>
      <c r="N56" s="193"/>
      <c r="O56" s="194"/>
      <c r="P56" s="194"/>
      <c r="Q56" s="194"/>
      <c r="R56" s="194"/>
      <c r="S56" s="194"/>
      <c r="T56" s="194"/>
      <c r="U56" s="194"/>
      <c r="V56" s="194"/>
      <c r="W56" s="194"/>
    </row>
    <row r="57">
      <c r="A57" s="205"/>
      <c r="B57" s="205"/>
      <c r="C57" s="194"/>
      <c r="D57" s="194"/>
      <c r="E57" s="194"/>
      <c r="F57" s="194"/>
      <c r="G57" s="194"/>
      <c r="H57" s="194"/>
      <c r="I57" s="194"/>
      <c r="J57" s="200"/>
      <c r="K57" s="193"/>
      <c r="L57" s="201"/>
      <c r="M57" s="202"/>
      <c r="N57" s="193"/>
      <c r="O57" s="194"/>
      <c r="P57" s="194"/>
      <c r="Q57" s="194"/>
      <c r="R57" s="194"/>
      <c r="S57" s="194"/>
      <c r="T57" s="194"/>
      <c r="U57" s="194"/>
      <c r="V57" s="194"/>
      <c r="W57" s="194"/>
    </row>
    <row r="58">
      <c r="A58" s="205"/>
      <c r="B58" s="205"/>
      <c r="C58" s="194"/>
      <c r="D58" s="194"/>
      <c r="E58" s="194"/>
      <c r="F58" s="194"/>
      <c r="G58" s="194"/>
      <c r="H58" s="194"/>
      <c r="I58" s="194"/>
      <c r="J58" s="200"/>
      <c r="K58" s="193"/>
      <c r="L58" s="201"/>
      <c r="M58" s="202"/>
      <c r="N58" s="193"/>
      <c r="O58" s="194"/>
      <c r="P58" s="194"/>
      <c r="Q58" s="194"/>
      <c r="R58" s="194"/>
      <c r="S58" s="194"/>
      <c r="T58" s="194"/>
      <c r="U58" s="194"/>
      <c r="V58" s="194"/>
      <c r="W58" s="194"/>
    </row>
    <row r="59">
      <c r="A59" s="205"/>
      <c r="B59" s="205"/>
      <c r="C59" s="194"/>
      <c r="D59" s="194"/>
      <c r="E59" s="194"/>
      <c r="F59" s="194"/>
      <c r="G59" s="194"/>
      <c r="H59" s="194"/>
      <c r="I59" s="194"/>
      <c r="J59" s="200"/>
      <c r="K59" s="193"/>
      <c r="L59" s="201"/>
      <c r="M59" s="202"/>
      <c r="N59" s="193"/>
      <c r="O59" s="194"/>
      <c r="P59" s="194"/>
      <c r="Q59" s="194"/>
      <c r="R59" s="194"/>
      <c r="S59" s="194"/>
      <c r="T59" s="194"/>
      <c r="U59" s="194"/>
      <c r="V59" s="194"/>
      <c r="W59" s="194"/>
    </row>
    <row r="60">
      <c r="A60" s="205"/>
      <c r="B60" s="205"/>
      <c r="C60" s="194"/>
      <c r="D60" s="194"/>
      <c r="E60" s="194"/>
      <c r="F60" s="194"/>
      <c r="G60" s="194"/>
      <c r="H60" s="194"/>
      <c r="I60" s="194"/>
      <c r="J60" s="200"/>
      <c r="K60" s="193"/>
      <c r="L60" s="201"/>
      <c r="M60" s="202"/>
      <c r="N60" s="193"/>
      <c r="O60" s="194"/>
      <c r="P60" s="194"/>
      <c r="Q60" s="194"/>
      <c r="R60" s="194"/>
      <c r="S60" s="194"/>
      <c r="T60" s="194"/>
      <c r="U60" s="194"/>
      <c r="V60" s="194"/>
      <c r="W60" s="194"/>
    </row>
    <row r="61">
      <c r="A61" s="205"/>
      <c r="B61" s="205"/>
      <c r="C61" s="194"/>
      <c r="D61" s="194"/>
      <c r="E61" s="194"/>
      <c r="F61" s="194"/>
      <c r="G61" s="194"/>
      <c r="H61" s="194"/>
      <c r="I61" s="194"/>
      <c r="J61" s="200"/>
      <c r="K61" s="193"/>
      <c r="L61" s="201"/>
      <c r="M61" s="202"/>
      <c r="N61" s="193"/>
      <c r="O61" s="194"/>
      <c r="P61" s="194"/>
      <c r="Q61" s="194"/>
      <c r="R61" s="194"/>
      <c r="S61" s="194"/>
      <c r="T61" s="194"/>
      <c r="U61" s="194"/>
      <c r="V61" s="194"/>
      <c r="W61" s="194"/>
    </row>
    <row r="62">
      <c r="A62" s="205"/>
      <c r="B62" s="205"/>
      <c r="C62" s="194"/>
      <c r="D62" s="194"/>
      <c r="E62" s="194"/>
      <c r="F62" s="194"/>
      <c r="G62" s="194"/>
      <c r="H62" s="194"/>
      <c r="I62" s="194"/>
      <c r="J62" s="200"/>
      <c r="K62" s="193"/>
      <c r="L62" s="201"/>
      <c r="M62" s="202"/>
      <c r="N62" s="193"/>
      <c r="O62" s="194"/>
      <c r="P62" s="194"/>
      <c r="Q62" s="194"/>
      <c r="R62" s="194"/>
      <c r="S62" s="194"/>
      <c r="T62" s="194"/>
      <c r="U62" s="194"/>
      <c r="V62" s="194"/>
      <c r="W62" s="194"/>
    </row>
    <row r="63">
      <c r="A63" s="205"/>
      <c r="B63" s="205"/>
      <c r="C63" s="194"/>
      <c r="D63" s="194"/>
      <c r="E63" s="194"/>
      <c r="F63" s="194"/>
      <c r="G63" s="194"/>
      <c r="H63" s="194"/>
      <c r="I63" s="194"/>
      <c r="J63" s="200"/>
      <c r="K63" s="193"/>
      <c r="L63" s="201"/>
      <c r="M63" s="202"/>
      <c r="N63" s="193"/>
      <c r="O63" s="194"/>
      <c r="P63" s="194"/>
      <c r="Q63" s="194"/>
      <c r="R63" s="194"/>
      <c r="S63" s="194"/>
      <c r="T63" s="194"/>
      <c r="U63" s="194"/>
      <c r="V63" s="194"/>
      <c r="W63" s="194"/>
    </row>
    <row r="64">
      <c r="A64" s="205"/>
      <c r="B64" s="205"/>
      <c r="C64" s="194"/>
      <c r="D64" s="194"/>
      <c r="E64" s="194"/>
      <c r="F64" s="194"/>
      <c r="G64" s="194"/>
      <c r="H64" s="194"/>
      <c r="I64" s="194"/>
      <c r="J64" s="200"/>
      <c r="K64" s="193"/>
      <c r="L64" s="201"/>
      <c r="M64" s="202"/>
      <c r="N64" s="193"/>
      <c r="O64" s="194"/>
      <c r="P64" s="194"/>
      <c r="Q64" s="194"/>
      <c r="R64" s="194"/>
      <c r="S64" s="194"/>
      <c r="T64" s="194"/>
      <c r="U64" s="194"/>
      <c r="V64" s="194"/>
      <c r="W64" s="194"/>
    </row>
    <row r="65">
      <c r="A65" s="205"/>
      <c r="B65" s="205"/>
      <c r="C65" s="194"/>
      <c r="D65" s="194"/>
      <c r="E65" s="194"/>
      <c r="F65" s="194"/>
      <c r="G65" s="194"/>
      <c r="H65" s="194"/>
      <c r="I65" s="194"/>
      <c r="J65" s="200"/>
      <c r="K65" s="193"/>
      <c r="L65" s="201"/>
      <c r="M65" s="202"/>
      <c r="N65" s="193"/>
      <c r="O65" s="194"/>
      <c r="P65" s="194"/>
      <c r="Q65" s="194"/>
      <c r="R65" s="194"/>
      <c r="S65" s="194"/>
      <c r="T65" s="194"/>
      <c r="U65" s="194"/>
      <c r="V65" s="194"/>
      <c r="W65" s="194"/>
    </row>
    <row r="66">
      <c r="A66" s="205"/>
      <c r="B66" s="205"/>
      <c r="C66" s="194"/>
      <c r="D66" s="194"/>
      <c r="E66" s="194"/>
      <c r="F66" s="194"/>
      <c r="G66" s="194"/>
      <c r="H66" s="194"/>
      <c r="I66" s="194"/>
      <c r="J66" s="200"/>
      <c r="K66" s="193"/>
      <c r="L66" s="201"/>
      <c r="M66" s="202"/>
      <c r="N66" s="193"/>
      <c r="O66" s="194"/>
      <c r="P66" s="194"/>
      <c r="Q66" s="194"/>
      <c r="R66" s="194"/>
      <c r="S66" s="194"/>
      <c r="T66" s="194"/>
      <c r="U66" s="194"/>
      <c r="V66" s="194"/>
      <c r="W66" s="194"/>
    </row>
    <row r="67">
      <c r="A67" s="205"/>
      <c r="B67" s="205"/>
      <c r="C67" s="194"/>
      <c r="D67" s="194"/>
      <c r="E67" s="194"/>
      <c r="F67" s="194"/>
      <c r="G67" s="194"/>
      <c r="H67" s="194"/>
      <c r="I67" s="194"/>
      <c r="J67" s="200"/>
      <c r="K67" s="193"/>
      <c r="L67" s="201"/>
      <c r="M67" s="202"/>
      <c r="N67" s="193"/>
      <c r="O67" s="194"/>
      <c r="P67" s="194"/>
      <c r="Q67" s="194"/>
      <c r="R67" s="194"/>
      <c r="S67" s="194"/>
      <c r="T67" s="194"/>
      <c r="U67" s="194"/>
      <c r="V67" s="194"/>
      <c r="W67" s="194"/>
    </row>
    <row r="68">
      <c r="A68" s="205"/>
      <c r="B68" s="205"/>
      <c r="C68" s="194"/>
      <c r="D68" s="194"/>
      <c r="E68" s="194"/>
      <c r="F68" s="194"/>
      <c r="G68" s="194"/>
      <c r="H68" s="194"/>
      <c r="I68" s="194"/>
      <c r="J68" s="200"/>
      <c r="K68" s="193"/>
      <c r="L68" s="201"/>
      <c r="M68" s="202"/>
      <c r="N68" s="193"/>
      <c r="O68" s="194"/>
      <c r="P68" s="194"/>
      <c r="Q68" s="194"/>
      <c r="R68" s="194"/>
      <c r="S68" s="194"/>
      <c r="T68" s="194"/>
      <c r="U68" s="194"/>
      <c r="V68" s="194"/>
      <c r="W68" s="194"/>
    </row>
    <row r="69">
      <c r="A69" s="205"/>
      <c r="B69" s="205"/>
      <c r="C69" s="194"/>
      <c r="D69" s="194"/>
      <c r="E69" s="194"/>
      <c r="F69" s="194"/>
      <c r="G69" s="194"/>
      <c r="H69" s="194"/>
      <c r="I69" s="194"/>
      <c r="J69" s="200"/>
      <c r="K69" s="193"/>
      <c r="L69" s="201"/>
      <c r="M69" s="202"/>
      <c r="N69" s="193"/>
      <c r="O69" s="194"/>
      <c r="P69" s="194"/>
      <c r="Q69" s="194"/>
      <c r="R69" s="194"/>
      <c r="S69" s="194"/>
      <c r="T69" s="194"/>
      <c r="U69" s="194"/>
      <c r="V69" s="194"/>
      <c r="W69" s="194"/>
    </row>
    <row r="70">
      <c r="A70" s="205"/>
      <c r="B70" s="205"/>
      <c r="C70" s="194"/>
      <c r="D70" s="194"/>
      <c r="E70" s="194"/>
      <c r="F70" s="194"/>
      <c r="G70" s="194"/>
      <c r="H70" s="194"/>
      <c r="I70" s="194"/>
      <c r="J70" s="200"/>
      <c r="K70" s="193"/>
      <c r="L70" s="201"/>
      <c r="M70" s="202"/>
      <c r="N70" s="193"/>
      <c r="O70" s="194"/>
      <c r="P70" s="194"/>
      <c r="Q70" s="194"/>
      <c r="R70" s="194"/>
      <c r="S70" s="194"/>
      <c r="T70" s="194"/>
      <c r="U70" s="194"/>
      <c r="V70" s="194"/>
      <c r="W70" s="194"/>
    </row>
    <row r="71">
      <c r="A71" s="205"/>
      <c r="B71" s="205"/>
      <c r="C71" s="194"/>
      <c r="D71" s="194"/>
      <c r="E71" s="194"/>
      <c r="F71" s="194"/>
      <c r="G71" s="194"/>
      <c r="H71" s="194"/>
      <c r="I71" s="194"/>
      <c r="J71" s="200"/>
      <c r="K71" s="193"/>
      <c r="L71" s="201"/>
      <c r="M71" s="202"/>
      <c r="N71" s="193"/>
      <c r="O71" s="194"/>
      <c r="P71" s="194"/>
      <c r="Q71" s="194"/>
      <c r="R71" s="194"/>
      <c r="S71" s="194"/>
      <c r="T71" s="194"/>
      <c r="U71" s="194"/>
      <c r="V71" s="194"/>
      <c r="W71" s="194"/>
    </row>
    <row r="72">
      <c r="A72" s="205"/>
      <c r="B72" s="205"/>
      <c r="C72" s="194"/>
      <c r="D72" s="194"/>
      <c r="E72" s="194"/>
      <c r="F72" s="194"/>
      <c r="G72" s="194"/>
      <c r="H72" s="194"/>
      <c r="I72" s="194"/>
      <c r="J72" s="200"/>
      <c r="K72" s="193"/>
      <c r="L72" s="201"/>
      <c r="M72" s="202"/>
      <c r="N72" s="193"/>
      <c r="O72" s="194"/>
      <c r="P72" s="194"/>
      <c r="Q72" s="194"/>
      <c r="R72" s="194"/>
      <c r="S72" s="194"/>
      <c r="T72" s="194"/>
      <c r="U72" s="194"/>
      <c r="V72" s="194"/>
      <c r="W72" s="194"/>
    </row>
    <row r="73">
      <c r="A73" s="205"/>
      <c r="B73" s="205"/>
      <c r="C73" s="194"/>
      <c r="D73" s="194"/>
      <c r="E73" s="194"/>
      <c r="F73" s="194"/>
      <c r="G73" s="194"/>
      <c r="H73" s="194"/>
      <c r="I73" s="194"/>
      <c r="J73" s="200"/>
      <c r="K73" s="193"/>
      <c r="L73" s="201"/>
      <c r="M73" s="202"/>
      <c r="N73" s="193"/>
      <c r="O73" s="194"/>
      <c r="P73" s="194"/>
      <c r="Q73" s="194"/>
      <c r="R73" s="194"/>
      <c r="S73" s="194"/>
      <c r="T73" s="194"/>
      <c r="U73" s="194"/>
      <c r="V73" s="194"/>
      <c r="W73" s="194"/>
    </row>
    <row r="74">
      <c r="A74" s="205"/>
      <c r="B74" s="205"/>
      <c r="C74" s="194"/>
      <c r="D74" s="194"/>
      <c r="E74" s="194"/>
      <c r="F74" s="194"/>
      <c r="G74" s="194"/>
      <c r="H74" s="194"/>
      <c r="I74" s="194"/>
      <c r="J74" s="200"/>
      <c r="K74" s="193"/>
      <c r="L74" s="201"/>
      <c r="M74" s="202"/>
      <c r="N74" s="193"/>
      <c r="O74" s="194"/>
      <c r="P74" s="194"/>
      <c r="Q74" s="194"/>
      <c r="R74" s="194"/>
      <c r="S74" s="194"/>
      <c r="T74" s="194"/>
      <c r="U74" s="194"/>
      <c r="V74" s="194"/>
      <c r="W74" s="194"/>
    </row>
    <row r="75">
      <c r="A75" s="205"/>
      <c r="B75" s="205"/>
      <c r="C75" s="194"/>
      <c r="D75" s="194"/>
      <c r="E75" s="194"/>
      <c r="F75" s="194"/>
      <c r="G75" s="194"/>
      <c r="H75" s="194"/>
      <c r="I75" s="194"/>
      <c r="J75" s="200"/>
      <c r="K75" s="193"/>
      <c r="L75" s="201"/>
      <c r="M75" s="202"/>
      <c r="N75" s="193"/>
      <c r="O75" s="194"/>
      <c r="P75" s="194"/>
      <c r="Q75" s="194"/>
      <c r="R75" s="194"/>
      <c r="S75" s="194"/>
      <c r="T75" s="194"/>
      <c r="U75" s="194"/>
      <c r="V75" s="194"/>
      <c r="W75" s="194"/>
    </row>
    <row r="76">
      <c r="A76" s="205"/>
      <c r="B76" s="205"/>
      <c r="C76" s="194"/>
      <c r="D76" s="194"/>
      <c r="E76" s="194"/>
      <c r="F76" s="194"/>
      <c r="G76" s="194"/>
      <c r="H76" s="194"/>
      <c r="I76" s="194"/>
      <c r="J76" s="200"/>
      <c r="K76" s="193"/>
      <c r="L76" s="201"/>
      <c r="M76" s="202"/>
      <c r="N76" s="193"/>
      <c r="O76" s="194"/>
      <c r="P76" s="194"/>
      <c r="Q76" s="194"/>
      <c r="R76" s="194"/>
      <c r="S76" s="194"/>
      <c r="T76" s="194"/>
      <c r="U76" s="194"/>
      <c r="V76" s="194"/>
      <c r="W76" s="194"/>
    </row>
    <row r="77">
      <c r="A77" s="205"/>
      <c r="B77" s="205"/>
      <c r="C77" s="194"/>
      <c r="D77" s="194"/>
      <c r="E77" s="194"/>
      <c r="F77" s="194"/>
      <c r="G77" s="194"/>
      <c r="H77" s="194"/>
      <c r="I77" s="194"/>
      <c r="J77" s="200"/>
      <c r="K77" s="193"/>
      <c r="L77" s="201"/>
      <c r="M77" s="202"/>
      <c r="N77" s="193"/>
      <c r="O77" s="194"/>
      <c r="P77" s="194"/>
      <c r="Q77" s="194"/>
      <c r="R77" s="194"/>
      <c r="S77" s="194"/>
      <c r="T77" s="194"/>
      <c r="U77" s="194"/>
      <c r="V77" s="194"/>
      <c r="W77" s="194"/>
    </row>
    <row r="78">
      <c r="A78" s="205"/>
      <c r="B78" s="205"/>
      <c r="C78" s="194"/>
      <c r="D78" s="194"/>
      <c r="E78" s="194"/>
      <c r="F78" s="194"/>
      <c r="G78" s="194"/>
      <c r="H78" s="194"/>
      <c r="I78" s="194"/>
      <c r="J78" s="200"/>
      <c r="K78" s="193"/>
      <c r="L78" s="201"/>
      <c r="M78" s="202"/>
      <c r="N78" s="193"/>
      <c r="O78" s="194"/>
      <c r="P78" s="194"/>
      <c r="Q78" s="194"/>
      <c r="R78" s="194"/>
      <c r="S78" s="194"/>
      <c r="T78" s="194"/>
      <c r="U78" s="194"/>
      <c r="V78" s="194"/>
      <c r="W78" s="194"/>
    </row>
    <row r="79">
      <c r="A79" s="205"/>
      <c r="B79" s="205"/>
      <c r="C79" s="194"/>
      <c r="D79" s="194"/>
      <c r="E79" s="194"/>
      <c r="F79" s="194"/>
      <c r="G79" s="194"/>
      <c r="H79" s="194"/>
      <c r="I79" s="194"/>
      <c r="J79" s="200"/>
      <c r="K79" s="193"/>
      <c r="L79" s="201"/>
      <c r="M79" s="202"/>
      <c r="N79" s="193"/>
      <c r="O79" s="194"/>
      <c r="P79" s="194"/>
      <c r="Q79" s="194"/>
      <c r="R79" s="194"/>
      <c r="S79" s="194"/>
      <c r="T79" s="194"/>
      <c r="U79" s="194"/>
      <c r="V79" s="194"/>
      <c r="W79" s="194"/>
    </row>
    <row r="80">
      <c r="A80" s="205"/>
      <c r="B80" s="205"/>
      <c r="C80" s="194"/>
      <c r="D80" s="194"/>
      <c r="E80" s="194"/>
      <c r="F80" s="194"/>
      <c r="G80" s="194"/>
      <c r="H80" s="194"/>
      <c r="I80" s="194"/>
      <c r="J80" s="200"/>
      <c r="K80" s="193"/>
      <c r="L80" s="201"/>
      <c r="M80" s="202"/>
      <c r="N80" s="193"/>
      <c r="O80" s="194"/>
      <c r="P80" s="194"/>
      <c r="Q80" s="194"/>
      <c r="R80" s="194"/>
      <c r="S80" s="194"/>
      <c r="T80" s="194"/>
      <c r="U80" s="194"/>
      <c r="V80" s="194"/>
      <c r="W80" s="194"/>
    </row>
    <row r="81">
      <c r="A81" s="205"/>
      <c r="B81" s="205"/>
      <c r="C81" s="194"/>
      <c r="D81" s="194"/>
      <c r="E81" s="194"/>
      <c r="F81" s="194"/>
      <c r="G81" s="194"/>
      <c r="H81" s="194"/>
      <c r="I81" s="194"/>
      <c r="J81" s="200"/>
      <c r="K81" s="193"/>
      <c r="L81" s="201"/>
      <c r="M81" s="202"/>
      <c r="N81" s="193"/>
      <c r="O81" s="194"/>
      <c r="P81" s="194"/>
      <c r="Q81" s="194"/>
      <c r="R81" s="194"/>
      <c r="S81" s="194"/>
      <c r="T81" s="194"/>
      <c r="U81" s="194"/>
      <c r="V81" s="194"/>
      <c r="W81" s="194"/>
    </row>
    <row r="82">
      <c r="A82" s="205"/>
      <c r="B82" s="205"/>
      <c r="C82" s="194"/>
      <c r="D82" s="194"/>
      <c r="E82" s="194"/>
      <c r="F82" s="194"/>
      <c r="G82" s="194"/>
      <c r="H82" s="194"/>
      <c r="I82" s="194"/>
      <c r="J82" s="200"/>
      <c r="K82" s="193"/>
      <c r="L82" s="201"/>
      <c r="M82" s="202"/>
      <c r="N82" s="193"/>
      <c r="O82" s="194"/>
      <c r="P82" s="194"/>
      <c r="Q82" s="194"/>
      <c r="R82" s="194"/>
      <c r="S82" s="194"/>
      <c r="T82" s="194"/>
      <c r="U82" s="194"/>
      <c r="V82" s="194"/>
      <c r="W82" s="194"/>
    </row>
    <row r="83">
      <c r="A83" s="205"/>
      <c r="B83" s="205"/>
      <c r="C83" s="194"/>
      <c r="D83" s="194"/>
      <c r="E83" s="194"/>
      <c r="F83" s="194"/>
      <c r="G83" s="194"/>
      <c r="H83" s="194"/>
      <c r="I83" s="194"/>
      <c r="J83" s="200"/>
      <c r="K83" s="193"/>
      <c r="L83" s="201"/>
      <c r="M83" s="202"/>
      <c r="N83" s="193"/>
      <c r="O83" s="194"/>
      <c r="P83" s="194"/>
      <c r="Q83" s="194"/>
      <c r="R83" s="194"/>
      <c r="S83" s="194"/>
      <c r="T83" s="194"/>
      <c r="U83" s="194"/>
      <c r="V83" s="194"/>
      <c r="W83" s="194"/>
    </row>
    <row r="84">
      <c r="A84" s="205"/>
      <c r="B84" s="205"/>
      <c r="C84" s="194"/>
      <c r="D84" s="194"/>
      <c r="E84" s="194"/>
      <c r="F84" s="194"/>
      <c r="G84" s="194"/>
      <c r="H84" s="194"/>
      <c r="I84" s="194"/>
      <c r="J84" s="200"/>
      <c r="K84" s="193"/>
      <c r="L84" s="201"/>
      <c r="M84" s="202"/>
      <c r="N84" s="193"/>
      <c r="O84" s="194"/>
      <c r="P84" s="194"/>
      <c r="Q84" s="194"/>
      <c r="R84" s="194"/>
      <c r="S84" s="194"/>
      <c r="T84" s="194"/>
      <c r="U84" s="194"/>
      <c r="V84" s="194"/>
      <c r="W84" s="194"/>
    </row>
    <row r="85">
      <c r="A85" s="205"/>
      <c r="B85" s="205"/>
      <c r="C85" s="194"/>
      <c r="D85" s="194"/>
      <c r="E85" s="194"/>
      <c r="F85" s="194"/>
      <c r="G85" s="194"/>
      <c r="H85" s="194"/>
      <c r="I85" s="194"/>
      <c r="J85" s="200"/>
      <c r="K85" s="193"/>
      <c r="L85" s="201"/>
      <c r="M85" s="202"/>
      <c r="N85" s="193"/>
      <c r="O85" s="194"/>
      <c r="P85" s="194"/>
      <c r="Q85" s="194"/>
      <c r="R85" s="194"/>
      <c r="S85" s="194"/>
      <c r="T85" s="194"/>
      <c r="U85" s="194"/>
      <c r="V85" s="194"/>
      <c r="W85" s="194"/>
    </row>
    <row r="86">
      <c r="A86" s="205"/>
      <c r="B86" s="205"/>
      <c r="C86" s="194"/>
      <c r="D86" s="194"/>
      <c r="E86" s="194"/>
      <c r="F86" s="194"/>
      <c r="G86" s="194"/>
      <c r="H86" s="194"/>
      <c r="I86" s="194"/>
      <c r="J86" s="200"/>
      <c r="K86" s="193"/>
      <c r="L86" s="201"/>
      <c r="M86" s="202"/>
      <c r="N86" s="193"/>
      <c r="O86" s="194"/>
      <c r="P86" s="194"/>
      <c r="Q86" s="194"/>
      <c r="R86" s="194"/>
      <c r="S86" s="194"/>
      <c r="T86" s="194"/>
      <c r="U86" s="194"/>
      <c r="V86" s="194"/>
      <c r="W86" s="194"/>
    </row>
    <row r="87">
      <c r="A87" s="205"/>
      <c r="B87" s="205"/>
      <c r="C87" s="194"/>
      <c r="D87" s="194"/>
      <c r="E87" s="194"/>
      <c r="F87" s="194"/>
      <c r="G87" s="194"/>
      <c r="H87" s="194"/>
      <c r="I87" s="194"/>
      <c r="J87" s="200"/>
      <c r="K87" s="193"/>
      <c r="L87" s="201"/>
      <c r="M87" s="202"/>
      <c r="N87" s="193"/>
      <c r="O87" s="194"/>
      <c r="P87" s="194"/>
      <c r="Q87" s="194"/>
      <c r="R87" s="194"/>
      <c r="S87" s="194"/>
      <c r="T87" s="194"/>
      <c r="U87" s="194"/>
      <c r="V87" s="194"/>
      <c r="W87" s="194"/>
    </row>
    <row r="88">
      <c r="A88" s="205"/>
      <c r="B88" s="205"/>
      <c r="C88" s="194"/>
      <c r="D88" s="194"/>
      <c r="E88" s="194"/>
      <c r="F88" s="194"/>
      <c r="G88" s="194"/>
      <c r="H88" s="194"/>
      <c r="I88" s="194"/>
      <c r="J88" s="200"/>
      <c r="K88" s="193"/>
      <c r="L88" s="201"/>
      <c r="M88" s="202"/>
      <c r="N88" s="193"/>
      <c r="O88" s="194"/>
      <c r="P88" s="194"/>
      <c r="Q88" s="194"/>
      <c r="R88" s="194"/>
      <c r="S88" s="194"/>
      <c r="T88" s="194"/>
      <c r="U88" s="194"/>
      <c r="V88" s="194"/>
      <c r="W88" s="194"/>
    </row>
    <row r="89">
      <c r="A89" s="205"/>
      <c r="B89" s="205"/>
      <c r="C89" s="194"/>
      <c r="D89" s="194"/>
      <c r="E89" s="194"/>
      <c r="F89" s="194"/>
      <c r="G89" s="194"/>
      <c r="H89" s="194"/>
      <c r="I89" s="194"/>
      <c r="J89" s="200"/>
      <c r="K89" s="193"/>
      <c r="L89" s="201"/>
      <c r="M89" s="202"/>
      <c r="N89" s="193"/>
      <c r="O89" s="194"/>
      <c r="P89" s="194"/>
      <c r="Q89" s="194"/>
      <c r="R89" s="194"/>
      <c r="S89" s="194"/>
      <c r="T89" s="194"/>
      <c r="U89" s="194"/>
      <c r="V89" s="194"/>
      <c r="W89" s="194"/>
    </row>
    <row r="90">
      <c r="A90" s="205"/>
      <c r="B90" s="205"/>
      <c r="C90" s="194"/>
      <c r="D90" s="194"/>
      <c r="E90" s="194"/>
      <c r="F90" s="194"/>
      <c r="G90" s="194"/>
      <c r="H90" s="194"/>
      <c r="I90" s="194"/>
      <c r="J90" s="200"/>
      <c r="K90" s="193"/>
      <c r="L90" s="201"/>
      <c r="M90" s="202"/>
      <c r="N90" s="193"/>
      <c r="O90" s="194"/>
      <c r="P90" s="194"/>
      <c r="Q90" s="194"/>
      <c r="R90" s="194"/>
      <c r="S90" s="194"/>
      <c r="T90" s="194"/>
      <c r="U90" s="194"/>
      <c r="V90" s="194"/>
      <c r="W90" s="194"/>
    </row>
    <row r="91">
      <c r="A91" s="205"/>
      <c r="B91" s="205"/>
      <c r="C91" s="194"/>
      <c r="D91" s="194"/>
      <c r="E91" s="194"/>
      <c r="F91" s="194"/>
      <c r="G91" s="194"/>
      <c r="H91" s="194"/>
      <c r="I91" s="194"/>
      <c r="J91" s="200"/>
      <c r="K91" s="193"/>
      <c r="L91" s="201"/>
      <c r="M91" s="202"/>
      <c r="N91" s="193"/>
      <c r="O91" s="194"/>
      <c r="P91" s="194"/>
      <c r="Q91" s="194"/>
      <c r="R91" s="194"/>
      <c r="S91" s="194"/>
      <c r="T91" s="194"/>
      <c r="U91" s="194"/>
      <c r="V91" s="194"/>
      <c r="W91" s="194"/>
    </row>
    <row r="92">
      <c r="A92" s="205"/>
      <c r="B92" s="205"/>
      <c r="C92" s="194"/>
      <c r="D92" s="194"/>
      <c r="E92" s="194"/>
      <c r="F92" s="194"/>
      <c r="G92" s="194"/>
      <c r="H92" s="194"/>
      <c r="I92" s="194"/>
      <c r="J92" s="200"/>
      <c r="K92" s="193"/>
      <c r="L92" s="201"/>
      <c r="M92" s="202"/>
      <c r="N92" s="193"/>
      <c r="O92" s="194"/>
      <c r="P92" s="194"/>
      <c r="Q92" s="194"/>
      <c r="R92" s="194"/>
      <c r="S92" s="194"/>
      <c r="T92" s="194"/>
      <c r="U92" s="194"/>
      <c r="V92" s="194"/>
      <c r="W92" s="194"/>
    </row>
    <row r="93">
      <c r="A93" s="205"/>
      <c r="B93" s="205"/>
      <c r="C93" s="194"/>
      <c r="D93" s="194"/>
      <c r="E93" s="194"/>
      <c r="F93" s="194"/>
      <c r="G93" s="194"/>
      <c r="H93" s="194"/>
      <c r="I93" s="194"/>
      <c r="J93" s="200"/>
      <c r="K93" s="193"/>
      <c r="L93" s="201"/>
      <c r="M93" s="202"/>
      <c r="N93" s="193"/>
      <c r="O93" s="194"/>
      <c r="P93" s="194"/>
      <c r="Q93" s="194"/>
      <c r="R93" s="194"/>
      <c r="S93" s="194"/>
      <c r="T93" s="194"/>
      <c r="U93" s="194"/>
      <c r="V93" s="194"/>
      <c r="W93" s="194"/>
    </row>
    <row r="94">
      <c r="A94" s="205"/>
      <c r="B94" s="205"/>
      <c r="C94" s="194"/>
      <c r="D94" s="194"/>
      <c r="E94" s="194"/>
      <c r="F94" s="194"/>
      <c r="G94" s="194"/>
      <c r="H94" s="194"/>
      <c r="I94" s="194"/>
      <c r="J94" s="200"/>
      <c r="K94" s="193"/>
      <c r="L94" s="201"/>
      <c r="M94" s="202"/>
      <c r="N94" s="193"/>
      <c r="O94" s="194"/>
      <c r="P94" s="194"/>
      <c r="Q94" s="194"/>
      <c r="R94" s="194"/>
      <c r="S94" s="194"/>
      <c r="T94" s="194"/>
      <c r="U94" s="194"/>
      <c r="V94" s="194"/>
      <c r="W94" s="194"/>
    </row>
    <row r="95">
      <c r="A95" s="205"/>
      <c r="B95" s="205"/>
      <c r="C95" s="194"/>
      <c r="D95" s="194"/>
      <c r="E95" s="194"/>
      <c r="F95" s="194"/>
      <c r="G95" s="194"/>
      <c r="H95" s="194"/>
      <c r="I95" s="194"/>
      <c r="J95" s="200"/>
      <c r="K95" s="193"/>
      <c r="L95" s="201"/>
      <c r="M95" s="202"/>
      <c r="N95" s="193"/>
      <c r="O95" s="194"/>
      <c r="P95" s="194"/>
      <c r="Q95" s="194"/>
      <c r="R95" s="194"/>
      <c r="S95" s="194"/>
      <c r="T95" s="194"/>
      <c r="U95" s="194"/>
      <c r="V95" s="194"/>
      <c r="W95" s="194"/>
    </row>
    <row r="96">
      <c r="A96" s="205"/>
      <c r="B96" s="205"/>
      <c r="C96" s="194"/>
      <c r="D96" s="194"/>
      <c r="E96" s="194"/>
      <c r="F96" s="194"/>
      <c r="G96" s="194"/>
      <c r="H96" s="194"/>
      <c r="I96" s="194"/>
      <c r="J96" s="200"/>
      <c r="K96" s="193"/>
      <c r="L96" s="201"/>
      <c r="M96" s="202"/>
      <c r="N96" s="193"/>
      <c r="O96" s="194"/>
      <c r="P96" s="194"/>
      <c r="Q96" s="194"/>
      <c r="R96" s="194"/>
      <c r="S96" s="194"/>
      <c r="T96" s="194"/>
      <c r="U96" s="194"/>
      <c r="V96" s="194"/>
      <c r="W96" s="194"/>
    </row>
    <row r="97">
      <c r="A97" s="205"/>
      <c r="B97" s="205"/>
      <c r="C97" s="194"/>
      <c r="D97" s="194"/>
      <c r="E97" s="194"/>
      <c r="F97" s="194"/>
      <c r="G97" s="194"/>
      <c r="H97" s="194"/>
      <c r="I97" s="194"/>
      <c r="J97" s="200"/>
      <c r="K97" s="193"/>
      <c r="L97" s="201"/>
      <c r="M97" s="202"/>
      <c r="N97" s="193"/>
      <c r="O97" s="194"/>
      <c r="P97" s="194"/>
      <c r="Q97" s="194"/>
      <c r="R97" s="194"/>
      <c r="S97" s="194"/>
      <c r="T97" s="194"/>
      <c r="U97" s="194"/>
      <c r="V97" s="194"/>
      <c r="W97" s="194"/>
    </row>
    <row r="98">
      <c r="A98" s="205"/>
      <c r="B98" s="205"/>
      <c r="C98" s="194"/>
      <c r="D98" s="194"/>
      <c r="E98" s="194"/>
      <c r="F98" s="194"/>
      <c r="G98" s="194"/>
      <c r="H98" s="194"/>
      <c r="I98" s="194"/>
      <c r="J98" s="200"/>
      <c r="K98" s="193"/>
      <c r="L98" s="201"/>
      <c r="M98" s="202"/>
      <c r="N98" s="193"/>
      <c r="O98" s="194"/>
      <c r="P98" s="194"/>
      <c r="Q98" s="194"/>
      <c r="R98" s="194"/>
      <c r="S98" s="194"/>
      <c r="T98" s="194"/>
      <c r="U98" s="194"/>
      <c r="V98" s="194"/>
      <c r="W98" s="194"/>
    </row>
    <row r="99">
      <c r="A99" s="205"/>
      <c r="B99" s="205"/>
      <c r="C99" s="194"/>
      <c r="D99" s="194"/>
      <c r="E99" s="194"/>
      <c r="F99" s="194"/>
      <c r="G99" s="194"/>
      <c r="H99" s="194"/>
      <c r="I99" s="194"/>
      <c r="J99" s="200"/>
      <c r="K99" s="193"/>
      <c r="L99" s="201"/>
      <c r="M99" s="202"/>
      <c r="N99" s="193"/>
      <c r="O99" s="194"/>
      <c r="P99" s="194"/>
      <c r="Q99" s="194"/>
      <c r="R99" s="194"/>
      <c r="S99" s="194"/>
      <c r="T99" s="194"/>
      <c r="U99" s="194"/>
      <c r="V99" s="194"/>
      <c r="W99" s="194"/>
    </row>
    <row r="100">
      <c r="A100" s="205"/>
      <c r="B100" s="205"/>
      <c r="C100" s="194"/>
      <c r="D100" s="194"/>
      <c r="E100" s="194"/>
      <c r="F100" s="194"/>
      <c r="G100" s="194"/>
      <c r="H100" s="194"/>
      <c r="I100" s="194"/>
      <c r="J100" s="200"/>
      <c r="K100" s="193"/>
      <c r="L100" s="201"/>
      <c r="M100" s="202"/>
      <c r="N100" s="193"/>
      <c r="O100" s="194"/>
      <c r="P100" s="194"/>
      <c r="Q100" s="194"/>
      <c r="R100" s="194"/>
      <c r="S100" s="194"/>
      <c r="T100" s="194"/>
      <c r="U100" s="194"/>
      <c r="V100" s="194"/>
      <c r="W100" s="194"/>
    </row>
    <row r="101">
      <c r="A101" s="205"/>
      <c r="B101" s="205"/>
      <c r="C101" s="194"/>
      <c r="D101" s="194"/>
      <c r="E101" s="194"/>
      <c r="F101" s="194"/>
      <c r="G101" s="194"/>
      <c r="H101" s="194"/>
      <c r="I101" s="194"/>
      <c r="J101" s="200"/>
      <c r="K101" s="193"/>
      <c r="L101" s="201"/>
      <c r="M101" s="202"/>
      <c r="N101" s="193"/>
      <c r="O101" s="194"/>
      <c r="P101" s="194"/>
      <c r="Q101" s="194"/>
      <c r="R101" s="194"/>
      <c r="S101" s="194"/>
      <c r="T101" s="194"/>
      <c r="U101" s="194"/>
      <c r="V101" s="194"/>
      <c r="W101" s="194"/>
    </row>
    <row r="102">
      <c r="A102" s="205"/>
      <c r="B102" s="205"/>
      <c r="C102" s="194"/>
      <c r="D102" s="194"/>
      <c r="E102" s="194"/>
      <c r="F102" s="194"/>
      <c r="G102" s="194"/>
      <c r="H102" s="194"/>
      <c r="I102" s="194"/>
      <c r="J102" s="200"/>
      <c r="K102" s="193"/>
      <c r="L102" s="201"/>
      <c r="M102" s="202"/>
      <c r="N102" s="193"/>
      <c r="O102" s="194"/>
      <c r="P102" s="194"/>
      <c r="Q102" s="194"/>
      <c r="R102" s="194"/>
      <c r="S102" s="194"/>
      <c r="T102" s="194"/>
      <c r="U102" s="194"/>
      <c r="V102" s="194"/>
      <c r="W102" s="194"/>
    </row>
    <row r="103">
      <c r="A103" s="205"/>
      <c r="B103" s="205"/>
      <c r="C103" s="194"/>
      <c r="D103" s="194"/>
      <c r="E103" s="194"/>
      <c r="F103" s="194"/>
      <c r="G103" s="194"/>
      <c r="H103" s="194"/>
      <c r="I103" s="194"/>
      <c r="J103" s="200"/>
      <c r="K103" s="193"/>
      <c r="L103" s="201"/>
      <c r="M103" s="202"/>
      <c r="N103" s="193"/>
      <c r="O103" s="194"/>
      <c r="P103" s="194"/>
      <c r="Q103" s="194"/>
      <c r="R103" s="194"/>
      <c r="S103" s="194"/>
      <c r="T103" s="194"/>
      <c r="U103" s="194"/>
      <c r="V103" s="194"/>
      <c r="W103" s="194"/>
    </row>
    <row r="104">
      <c r="A104" s="205"/>
      <c r="B104" s="205"/>
      <c r="C104" s="194"/>
      <c r="D104" s="194"/>
      <c r="E104" s="194"/>
      <c r="F104" s="194"/>
      <c r="G104" s="194"/>
      <c r="H104" s="194"/>
      <c r="I104" s="194"/>
      <c r="J104" s="200"/>
      <c r="K104" s="193"/>
      <c r="L104" s="201"/>
      <c r="M104" s="202"/>
      <c r="N104" s="193"/>
      <c r="O104" s="194"/>
      <c r="P104" s="194"/>
      <c r="Q104" s="194"/>
      <c r="R104" s="194"/>
      <c r="S104" s="194"/>
      <c r="T104" s="194"/>
      <c r="U104" s="194"/>
      <c r="V104" s="194"/>
      <c r="W104" s="194"/>
    </row>
    <row r="105">
      <c r="A105" s="205"/>
      <c r="B105" s="205"/>
      <c r="C105" s="194"/>
      <c r="D105" s="194"/>
      <c r="E105" s="194"/>
      <c r="F105" s="194"/>
      <c r="G105" s="194"/>
      <c r="H105" s="194"/>
      <c r="I105" s="194"/>
      <c r="J105" s="200"/>
      <c r="K105" s="193"/>
      <c r="L105" s="201"/>
      <c r="M105" s="202"/>
      <c r="N105" s="193"/>
      <c r="O105" s="194"/>
      <c r="P105" s="194"/>
      <c r="Q105" s="194"/>
      <c r="R105" s="194"/>
      <c r="S105" s="194"/>
      <c r="T105" s="194"/>
      <c r="U105" s="194"/>
      <c r="V105" s="194"/>
      <c r="W105" s="194"/>
    </row>
    <row r="106">
      <c r="A106" s="205"/>
      <c r="B106" s="205"/>
      <c r="C106" s="194"/>
      <c r="D106" s="194"/>
      <c r="E106" s="194"/>
      <c r="F106" s="194"/>
      <c r="G106" s="194"/>
      <c r="H106" s="194"/>
      <c r="I106" s="194"/>
      <c r="J106" s="200"/>
      <c r="K106" s="193"/>
      <c r="L106" s="201"/>
      <c r="M106" s="202"/>
      <c r="N106" s="193"/>
      <c r="O106" s="194"/>
      <c r="P106" s="194"/>
      <c r="Q106" s="194"/>
      <c r="R106" s="194"/>
      <c r="S106" s="194"/>
      <c r="T106" s="194"/>
      <c r="U106" s="194"/>
      <c r="V106" s="194"/>
      <c r="W106" s="194"/>
    </row>
    <row r="107">
      <c r="A107" s="205"/>
      <c r="B107" s="205"/>
      <c r="C107" s="194"/>
      <c r="D107" s="194"/>
      <c r="E107" s="194"/>
      <c r="F107" s="194"/>
      <c r="G107" s="194"/>
      <c r="H107" s="194"/>
      <c r="I107" s="194"/>
      <c r="J107" s="200"/>
      <c r="K107" s="193"/>
      <c r="L107" s="201"/>
      <c r="M107" s="202"/>
      <c r="N107" s="193"/>
      <c r="O107" s="194"/>
      <c r="P107" s="194"/>
      <c r="Q107" s="194"/>
      <c r="R107" s="194"/>
      <c r="S107" s="194"/>
      <c r="T107" s="194"/>
      <c r="U107" s="194"/>
      <c r="V107" s="194"/>
      <c r="W107" s="194"/>
    </row>
    <row r="108">
      <c r="A108" s="205"/>
      <c r="B108" s="205"/>
      <c r="C108" s="194"/>
      <c r="D108" s="194"/>
      <c r="E108" s="194"/>
      <c r="F108" s="194"/>
      <c r="G108" s="194"/>
      <c r="H108" s="194"/>
      <c r="I108" s="194"/>
      <c r="J108" s="200"/>
      <c r="K108" s="193"/>
      <c r="L108" s="201"/>
      <c r="M108" s="202"/>
      <c r="N108" s="193"/>
      <c r="O108" s="194"/>
      <c r="P108" s="194"/>
      <c r="Q108" s="194"/>
      <c r="R108" s="194"/>
      <c r="S108" s="194"/>
      <c r="T108" s="194"/>
      <c r="U108" s="194"/>
      <c r="V108" s="194"/>
      <c r="W108" s="194"/>
    </row>
    <row r="109">
      <c r="A109" s="205"/>
      <c r="B109" s="205"/>
      <c r="C109" s="194"/>
      <c r="D109" s="194"/>
      <c r="E109" s="194"/>
      <c r="F109" s="194"/>
      <c r="G109" s="194"/>
      <c r="H109" s="194"/>
      <c r="I109" s="194"/>
      <c r="J109" s="200"/>
      <c r="K109" s="193"/>
      <c r="L109" s="201"/>
      <c r="M109" s="202"/>
      <c r="N109" s="193"/>
      <c r="O109" s="194"/>
      <c r="P109" s="194"/>
      <c r="Q109" s="194"/>
      <c r="R109" s="194"/>
      <c r="S109" s="194"/>
      <c r="T109" s="194"/>
      <c r="U109" s="194"/>
      <c r="V109" s="194"/>
      <c r="W109" s="194"/>
    </row>
    <row r="110">
      <c r="A110" s="205"/>
      <c r="B110" s="205"/>
      <c r="C110" s="194"/>
      <c r="D110" s="194"/>
      <c r="E110" s="194"/>
      <c r="F110" s="194"/>
      <c r="G110" s="194"/>
      <c r="H110" s="194"/>
      <c r="I110" s="194"/>
      <c r="J110" s="200"/>
      <c r="K110" s="193"/>
      <c r="L110" s="201"/>
      <c r="M110" s="202"/>
      <c r="N110" s="193"/>
      <c r="O110" s="194"/>
      <c r="P110" s="194"/>
      <c r="Q110" s="194"/>
      <c r="R110" s="194"/>
      <c r="S110" s="194"/>
      <c r="T110" s="194"/>
      <c r="U110" s="194"/>
      <c r="V110" s="194"/>
      <c r="W110" s="194"/>
    </row>
    <row r="111">
      <c r="A111" s="205"/>
      <c r="B111" s="205"/>
      <c r="C111" s="194"/>
      <c r="D111" s="194"/>
      <c r="E111" s="194"/>
      <c r="F111" s="194"/>
      <c r="G111" s="194"/>
      <c r="H111" s="194"/>
      <c r="I111" s="194"/>
      <c r="J111" s="200"/>
      <c r="K111" s="193"/>
      <c r="L111" s="201"/>
      <c r="M111" s="202"/>
      <c r="N111" s="193"/>
      <c r="O111" s="194"/>
      <c r="P111" s="194"/>
      <c r="Q111" s="194"/>
      <c r="R111" s="194"/>
      <c r="S111" s="194"/>
      <c r="T111" s="194"/>
      <c r="U111" s="194"/>
      <c r="V111" s="194"/>
      <c r="W111" s="194"/>
    </row>
    <row r="112">
      <c r="A112" s="205"/>
      <c r="B112" s="205"/>
      <c r="C112" s="194"/>
      <c r="D112" s="194"/>
      <c r="E112" s="194"/>
      <c r="F112" s="194"/>
      <c r="G112" s="194"/>
      <c r="H112" s="194"/>
      <c r="I112" s="194"/>
      <c r="J112" s="200"/>
      <c r="K112" s="193"/>
      <c r="L112" s="201"/>
      <c r="M112" s="202"/>
      <c r="N112" s="193"/>
      <c r="O112" s="194"/>
      <c r="P112" s="194"/>
      <c r="Q112" s="194"/>
      <c r="R112" s="194"/>
      <c r="S112" s="194"/>
      <c r="T112" s="194"/>
      <c r="U112" s="194"/>
      <c r="V112" s="194"/>
      <c r="W112" s="194"/>
    </row>
    <row r="113">
      <c r="A113" s="205"/>
      <c r="B113" s="205"/>
      <c r="C113" s="194"/>
      <c r="D113" s="194"/>
      <c r="E113" s="194"/>
      <c r="F113" s="194"/>
      <c r="G113" s="194"/>
      <c r="H113" s="194"/>
      <c r="I113" s="194"/>
      <c r="J113" s="200"/>
      <c r="K113" s="193"/>
      <c r="L113" s="201"/>
      <c r="M113" s="202"/>
      <c r="N113" s="193"/>
      <c r="O113" s="194"/>
      <c r="P113" s="194"/>
      <c r="Q113" s="194"/>
      <c r="R113" s="194"/>
      <c r="S113" s="194"/>
      <c r="T113" s="194"/>
      <c r="U113" s="194"/>
      <c r="V113" s="194"/>
      <c r="W113" s="194"/>
    </row>
    <row r="114">
      <c r="A114" s="205"/>
      <c r="B114" s="205"/>
      <c r="C114" s="194"/>
      <c r="D114" s="194"/>
      <c r="E114" s="194"/>
      <c r="F114" s="194"/>
      <c r="G114" s="194"/>
      <c r="H114" s="194"/>
      <c r="I114" s="194"/>
      <c r="J114" s="200"/>
      <c r="K114" s="193"/>
      <c r="L114" s="201"/>
      <c r="M114" s="202"/>
      <c r="N114" s="193"/>
      <c r="O114" s="194"/>
      <c r="P114" s="194"/>
      <c r="Q114" s="194"/>
      <c r="R114" s="194"/>
      <c r="S114" s="194"/>
      <c r="T114" s="194"/>
      <c r="U114" s="194"/>
      <c r="V114" s="194"/>
      <c r="W114" s="194"/>
    </row>
    <row r="115">
      <c r="A115" s="205"/>
      <c r="B115" s="205"/>
      <c r="C115" s="194"/>
      <c r="D115" s="194"/>
      <c r="E115" s="194"/>
      <c r="F115" s="194"/>
      <c r="G115" s="194"/>
      <c r="H115" s="194"/>
      <c r="I115" s="194"/>
      <c r="J115" s="200"/>
      <c r="K115" s="193"/>
      <c r="L115" s="201"/>
      <c r="M115" s="202"/>
      <c r="N115" s="193"/>
      <c r="O115" s="194"/>
      <c r="P115" s="194"/>
      <c r="Q115" s="194"/>
      <c r="R115" s="194"/>
      <c r="S115" s="194"/>
      <c r="T115" s="194"/>
      <c r="U115" s="194"/>
      <c r="V115" s="194"/>
      <c r="W115" s="194"/>
    </row>
    <row r="116">
      <c r="A116" s="205"/>
      <c r="B116" s="205"/>
      <c r="C116" s="194"/>
      <c r="D116" s="194"/>
      <c r="E116" s="194"/>
      <c r="F116" s="194"/>
      <c r="G116" s="194"/>
      <c r="H116" s="194"/>
      <c r="I116" s="194"/>
      <c r="J116" s="200"/>
      <c r="K116" s="193"/>
      <c r="L116" s="201"/>
      <c r="M116" s="202"/>
      <c r="N116" s="193"/>
      <c r="O116" s="194"/>
      <c r="P116" s="194"/>
      <c r="Q116" s="194"/>
      <c r="R116" s="194"/>
      <c r="S116" s="194"/>
      <c r="T116" s="194"/>
      <c r="U116" s="194"/>
      <c r="V116" s="194"/>
      <c r="W116" s="194"/>
    </row>
    <row r="117">
      <c r="A117" s="205"/>
      <c r="B117" s="205"/>
      <c r="C117" s="194"/>
      <c r="D117" s="194"/>
      <c r="E117" s="194"/>
      <c r="F117" s="194"/>
      <c r="G117" s="194"/>
      <c r="H117" s="194"/>
      <c r="I117" s="194"/>
      <c r="J117" s="200"/>
      <c r="K117" s="193"/>
      <c r="L117" s="201"/>
      <c r="M117" s="202"/>
      <c r="N117" s="193"/>
      <c r="O117" s="194"/>
      <c r="P117" s="194"/>
      <c r="Q117" s="194"/>
      <c r="R117" s="194"/>
      <c r="S117" s="194"/>
      <c r="T117" s="194"/>
      <c r="U117" s="194"/>
      <c r="V117" s="194"/>
      <c r="W117" s="194"/>
    </row>
    <row r="118">
      <c r="A118" s="205"/>
      <c r="B118" s="205"/>
      <c r="C118" s="194"/>
      <c r="D118" s="194"/>
      <c r="E118" s="194"/>
      <c r="F118" s="194"/>
      <c r="G118" s="194"/>
      <c r="H118" s="194"/>
      <c r="I118" s="194"/>
      <c r="J118" s="200"/>
      <c r="K118" s="193"/>
      <c r="L118" s="201"/>
      <c r="M118" s="202"/>
      <c r="N118" s="193"/>
      <c r="O118" s="194"/>
      <c r="P118" s="194"/>
      <c r="Q118" s="194"/>
      <c r="R118" s="194"/>
      <c r="S118" s="194"/>
      <c r="T118" s="194"/>
      <c r="U118" s="194"/>
      <c r="V118" s="194"/>
      <c r="W118" s="194"/>
    </row>
    <row r="119">
      <c r="A119" s="205"/>
      <c r="B119" s="205"/>
      <c r="C119" s="194"/>
      <c r="D119" s="194"/>
      <c r="E119" s="194"/>
      <c r="F119" s="194"/>
      <c r="G119" s="194"/>
      <c r="H119" s="194"/>
      <c r="I119" s="194"/>
      <c r="J119" s="200"/>
      <c r="K119" s="193"/>
      <c r="L119" s="201"/>
      <c r="M119" s="202"/>
      <c r="N119" s="193"/>
      <c r="O119" s="194"/>
      <c r="P119" s="194"/>
      <c r="Q119" s="194"/>
      <c r="R119" s="194"/>
      <c r="S119" s="194"/>
      <c r="T119" s="194"/>
      <c r="U119" s="194"/>
      <c r="V119" s="194"/>
      <c r="W119" s="194"/>
    </row>
    <row r="120">
      <c r="A120" s="205"/>
      <c r="B120" s="205"/>
      <c r="C120" s="194"/>
      <c r="D120" s="194"/>
      <c r="E120" s="194"/>
      <c r="F120" s="194"/>
      <c r="G120" s="194"/>
      <c r="H120" s="194"/>
      <c r="I120" s="194"/>
      <c r="J120" s="200"/>
      <c r="K120" s="193"/>
      <c r="L120" s="201"/>
      <c r="M120" s="202"/>
      <c r="N120" s="193"/>
      <c r="O120" s="194"/>
      <c r="P120" s="194"/>
      <c r="Q120" s="194"/>
      <c r="R120" s="194"/>
      <c r="S120" s="194"/>
      <c r="T120" s="194"/>
      <c r="U120" s="194"/>
      <c r="V120" s="194"/>
      <c r="W120" s="194"/>
    </row>
    <row r="121">
      <c r="A121" s="205"/>
      <c r="B121" s="205"/>
      <c r="C121" s="194"/>
      <c r="D121" s="194"/>
      <c r="E121" s="194"/>
      <c r="F121" s="194"/>
      <c r="G121" s="194"/>
      <c r="H121" s="194"/>
      <c r="I121" s="194"/>
      <c r="J121" s="200"/>
      <c r="K121" s="193"/>
      <c r="L121" s="201"/>
      <c r="M121" s="202"/>
      <c r="N121" s="193"/>
      <c r="O121" s="194"/>
      <c r="P121" s="194"/>
      <c r="Q121" s="194"/>
      <c r="R121" s="194"/>
      <c r="S121" s="194"/>
      <c r="T121" s="194"/>
      <c r="U121" s="194"/>
      <c r="V121" s="194"/>
      <c r="W121" s="194"/>
    </row>
    <row r="122">
      <c r="A122" s="205"/>
      <c r="B122" s="205"/>
      <c r="C122" s="194"/>
      <c r="D122" s="194"/>
      <c r="E122" s="194"/>
      <c r="F122" s="194"/>
      <c r="G122" s="194"/>
      <c r="H122" s="194"/>
      <c r="I122" s="194"/>
      <c r="J122" s="200"/>
      <c r="K122" s="193"/>
      <c r="L122" s="201"/>
      <c r="M122" s="202"/>
      <c r="N122" s="193"/>
      <c r="O122" s="194"/>
      <c r="P122" s="194"/>
      <c r="Q122" s="194"/>
      <c r="R122" s="194"/>
      <c r="S122" s="194"/>
      <c r="T122" s="194"/>
      <c r="U122" s="194"/>
      <c r="V122" s="194"/>
      <c r="W122" s="194"/>
    </row>
    <row r="123">
      <c r="A123" s="205"/>
      <c r="B123" s="205"/>
      <c r="C123" s="194"/>
      <c r="D123" s="194"/>
      <c r="E123" s="194"/>
      <c r="F123" s="194"/>
      <c r="G123" s="194"/>
      <c r="H123" s="194"/>
      <c r="I123" s="194"/>
      <c r="J123" s="200"/>
      <c r="K123" s="193"/>
      <c r="L123" s="201"/>
      <c r="M123" s="202"/>
      <c r="N123" s="193"/>
      <c r="O123" s="194"/>
      <c r="P123" s="194"/>
      <c r="Q123" s="194"/>
      <c r="R123" s="194"/>
      <c r="S123" s="194"/>
      <c r="T123" s="194"/>
      <c r="U123" s="194"/>
      <c r="V123" s="194"/>
      <c r="W123" s="194"/>
    </row>
    <row r="124">
      <c r="A124" s="205"/>
      <c r="B124" s="205"/>
      <c r="C124" s="194"/>
      <c r="D124" s="194"/>
      <c r="E124" s="194"/>
      <c r="F124" s="194"/>
      <c r="G124" s="194"/>
      <c r="H124" s="194"/>
      <c r="I124" s="194"/>
      <c r="J124" s="200"/>
      <c r="K124" s="193"/>
      <c r="L124" s="201"/>
      <c r="M124" s="202"/>
      <c r="N124" s="193"/>
      <c r="O124" s="194"/>
      <c r="P124" s="194"/>
      <c r="Q124" s="194"/>
      <c r="R124" s="194"/>
      <c r="S124" s="194"/>
      <c r="T124" s="194"/>
      <c r="U124" s="194"/>
      <c r="V124" s="194"/>
      <c r="W124" s="194"/>
    </row>
    <row r="125">
      <c r="A125" s="205"/>
      <c r="B125" s="205"/>
      <c r="C125" s="194"/>
      <c r="D125" s="194"/>
      <c r="E125" s="194"/>
      <c r="F125" s="194"/>
      <c r="G125" s="194"/>
      <c r="H125" s="194"/>
      <c r="I125" s="194"/>
      <c r="J125" s="200"/>
      <c r="K125" s="193"/>
      <c r="L125" s="201"/>
      <c r="M125" s="202"/>
      <c r="N125" s="193"/>
      <c r="O125" s="194"/>
      <c r="P125" s="194"/>
      <c r="Q125" s="194"/>
      <c r="R125" s="194"/>
      <c r="S125" s="194"/>
      <c r="T125" s="194"/>
      <c r="U125" s="194"/>
      <c r="V125" s="194"/>
      <c r="W125" s="194"/>
    </row>
    <row r="126">
      <c r="A126" s="205"/>
      <c r="B126" s="205"/>
      <c r="C126" s="194"/>
      <c r="D126" s="194"/>
      <c r="E126" s="194"/>
      <c r="F126" s="194"/>
      <c r="G126" s="194"/>
      <c r="H126" s="194"/>
      <c r="I126" s="194"/>
      <c r="J126" s="200"/>
      <c r="K126" s="193"/>
      <c r="L126" s="201"/>
      <c r="M126" s="202"/>
      <c r="N126" s="193"/>
      <c r="O126" s="194"/>
      <c r="P126" s="194"/>
      <c r="Q126" s="194"/>
      <c r="R126" s="194"/>
      <c r="S126" s="194"/>
      <c r="T126" s="194"/>
      <c r="U126" s="194"/>
      <c r="V126" s="194"/>
      <c r="W126" s="194"/>
    </row>
    <row r="127">
      <c r="A127" s="205"/>
      <c r="B127" s="205"/>
      <c r="C127" s="194"/>
      <c r="D127" s="194"/>
      <c r="E127" s="194"/>
      <c r="F127" s="194"/>
      <c r="G127" s="194"/>
      <c r="H127" s="194"/>
      <c r="I127" s="194"/>
      <c r="J127" s="200"/>
      <c r="K127" s="193"/>
      <c r="L127" s="201"/>
      <c r="M127" s="202"/>
      <c r="N127" s="193"/>
      <c r="O127" s="194"/>
      <c r="P127" s="194"/>
      <c r="Q127" s="194"/>
      <c r="R127" s="194"/>
      <c r="S127" s="194"/>
      <c r="T127" s="194"/>
      <c r="U127" s="194"/>
      <c r="V127" s="194"/>
      <c r="W127" s="194"/>
    </row>
    <row r="128">
      <c r="A128" s="205"/>
      <c r="B128" s="205"/>
      <c r="C128" s="194"/>
      <c r="D128" s="194"/>
      <c r="E128" s="194"/>
      <c r="F128" s="194"/>
      <c r="G128" s="194"/>
      <c r="H128" s="194"/>
      <c r="I128" s="194"/>
      <c r="J128" s="200"/>
      <c r="K128" s="193"/>
      <c r="L128" s="201"/>
      <c r="M128" s="202"/>
      <c r="N128" s="193"/>
      <c r="O128" s="194"/>
      <c r="P128" s="194"/>
      <c r="Q128" s="194"/>
      <c r="R128" s="194"/>
      <c r="S128" s="194"/>
      <c r="T128" s="194"/>
      <c r="U128" s="194"/>
      <c r="V128" s="194"/>
      <c r="W128" s="194"/>
    </row>
    <row r="129">
      <c r="A129" s="205"/>
      <c r="B129" s="205"/>
      <c r="C129" s="194"/>
      <c r="D129" s="194"/>
      <c r="E129" s="194"/>
      <c r="F129" s="194"/>
      <c r="G129" s="194"/>
      <c r="H129" s="194"/>
      <c r="I129" s="194"/>
      <c r="J129" s="200"/>
      <c r="K129" s="193"/>
      <c r="L129" s="201"/>
      <c r="M129" s="202"/>
      <c r="N129" s="193"/>
      <c r="O129" s="194"/>
      <c r="P129" s="194"/>
      <c r="Q129" s="194"/>
      <c r="R129" s="194"/>
      <c r="S129" s="194"/>
      <c r="T129" s="194"/>
      <c r="U129" s="194"/>
      <c r="V129" s="194"/>
      <c r="W129" s="194"/>
    </row>
    <row r="130">
      <c r="A130" s="205"/>
      <c r="B130" s="205"/>
      <c r="C130" s="194"/>
      <c r="D130" s="194"/>
      <c r="E130" s="194"/>
      <c r="F130" s="194"/>
      <c r="G130" s="194"/>
      <c r="H130" s="194"/>
      <c r="I130" s="194"/>
      <c r="J130" s="200"/>
      <c r="K130" s="193"/>
      <c r="L130" s="201"/>
      <c r="M130" s="202"/>
      <c r="N130" s="193"/>
      <c r="O130" s="194"/>
      <c r="P130" s="194"/>
      <c r="Q130" s="194"/>
      <c r="R130" s="194"/>
      <c r="S130" s="194"/>
      <c r="T130" s="194"/>
      <c r="U130" s="194"/>
      <c r="V130" s="194"/>
      <c r="W130" s="194"/>
    </row>
    <row r="131">
      <c r="A131" s="205"/>
      <c r="B131" s="205"/>
      <c r="C131" s="194"/>
      <c r="D131" s="194"/>
      <c r="E131" s="194"/>
      <c r="F131" s="194"/>
      <c r="G131" s="194"/>
      <c r="H131" s="194"/>
      <c r="I131" s="194"/>
      <c r="J131" s="200"/>
      <c r="K131" s="193"/>
      <c r="L131" s="201"/>
      <c r="M131" s="202"/>
      <c r="N131" s="193"/>
      <c r="O131" s="194"/>
      <c r="P131" s="194"/>
      <c r="Q131" s="194"/>
      <c r="R131" s="194"/>
      <c r="S131" s="194"/>
      <c r="T131" s="194"/>
      <c r="U131" s="194"/>
      <c r="V131" s="194"/>
      <c r="W131" s="194"/>
    </row>
    <row r="132">
      <c r="A132" s="205"/>
      <c r="B132" s="205"/>
      <c r="C132" s="194"/>
      <c r="D132" s="194"/>
      <c r="E132" s="194"/>
      <c r="F132" s="194"/>
      <c r="G132" s="194"/>
      <c r="H132" s="194"/>
      <c r="I132" s="194"/>
      <c r="J132" s="200"/>
      <c r="K132" s="193"/>
      <c r="L132" s="201"/>
      <c r="M132" s="202"/>
      <c r="N132" s="193"/>
      <c r="O132" s="194"/>
      <c r="P132" s="194"/>
      <c r="Q132" s="194"/>
      <c r="R132" s="194"/>
      <c r="S132" s="194"/>
      <c r="T132" s="194"/>
      <c r="U132" s="194"/>
      <c r="V132" s="194"/>
      <c r="W132" s="194"/>
    </row>
    <row r="133">
      <c r="A133" s="205"/>
      <c r="B133" s="205"/>
      <c r="C133" s="194"/>
      <c r="D133" s="194"/>
      <c r="E133" s="194"/>
      <c r="F133" s="194"/>
      <c r="G133" s="194"/>
      <c r="H133" s="194"/>
      <c r="I133" s="194"/>
      <c r="J133" s="200"/>
      <c r="K133" s="193"/>
      <c r="L133" s="201"/>
      <c r="M133" s="202"/>
      <c r="N133" s="193"/>
      <c r="O133" s="194"/>
      <c r="P133" s="194"/>
      <c r="Q133" s="194"/>
      <c r="R133" s="194"/>
      <c r="S133" s="194"/>
      <c r="T133" s="194"/>
      <c r="U133" s="194"/>
      <c r="V133" s="194"/>
      <c r="W133" s="194"/>
    </row>
    <row r="134">
      <c r="A134" s="205"/>
      <c r="B134" s="205"/>
      <c r="C134" s="194"/>
      <c r="D134" s="194"/>
      <c r="E134" s="194"/>
      <c r="F134" s="194"/>
      <c r="G134" s="194"/>
      <c r="H134" s="194"/>
      <c r="I134" s="194"/>
      <c r="J134" s="200"/>
      <c r="K134" s="193"/>
      <c r="L134" s="201"/>
      <c r="M134" s="202"/>
      <c r="N134" s="193"/>
      <c r="O134" s="194"/>
      <c r="P134" s="194"/>
      <c r="Q134" s="194"/>
      <c r="R134" s="194"/>
      <c r="S134" s="194"/>
      <c r="T134" s="194"/>
      <c r="U134" s="194"/>
      <c r="V134" s="194"/>
      <c r="W134" s="194"/>
    </row>
    <row r="135">
      <c r="A135" s="205"/>
      <c r="B135" s="205"/>
      <c r="C135" s="194"/>
      <c r="D135" s="194"/>
      <c r="E135" s="194"/>
      <c r="F135" s="194"/>
      <c r="G135" s="194"/>
      <c r="H135" s="194"/>
      <c r="I135" s="194"/>
      <c r="J135" s="200"/>
      <c r="K135" s="193"/>
      <c r="L135" s="201"/>
      <c r="M135" s="202"/>
      <c r="N135" s="193"/>
      <c r="O135" s="194"/>
      <c r="P135" s="194"/>
      <c r="Q135" s="194"/>
      <c r="R135" s="194"/>
      <c r="S135" s="194"/>
      <c r="T135" s="194"/>
      <c r="U135" s="194"/>
      <c r="V135" s="194"/>
      <c r="W135" s="194"/>
    </row>
    <row r="136">
      <c r="A136" s="205"/>
      <c r="B136" s="205"/>
      <c r="C136" s="194"/>
      <c r="D136" s="194"/>
      <c r="E136" s="194"/>
      <c r="F136" s="194"/>
      <c r="G136" s="194"/>
      <c r="H136" s="194"/>
      <c r="I136" s="194"/>
      <c r="J136" s="200"/>
      <c r="K136" s="193"/>
      <c r="L136" s="201"/>
      <c r="M136" s="202"/>
      <c r="N136" s="193"/>
      <c r="O136" s="194"/>
      <c r="P136" s="194"/>
      <c r="Q136" s="194"/>
      <c r="R136" s="194"/>
      <c r="S136" s="194"/>
      <c r="T136" s="194"/>
      <c r="U136" s="194"/>
      <c r="V136" s="194"/>
      <c r="W136" s="194"/>
    </row>
    <row r="137">
      <c r="A137" s="205"/>
      <c r="B137" s="205"/>
      <c r="C137" s="194"/>
      <c r="D137" s="194"/>
      <c r="E137" s="194"/>
      <c r="F137" s="194"/>
      <c r="G137" s="194"/>
      <c r="H137" s="194"/>
      <c r="I137" s="194"/>
      <c r="J137" s="200"/>
      <c r="K137" s="193"/>
      <c r="L137" s="201"/>
      <c r="M137" s="202"/>
      <c r="N137" s="193"/>
      <c r="O137" s="194"/>
      <c r="P137" s="194"/>
      <c r="Q137" s="194"/>
      <c r="R137" s="194"/>
      <c r="S137" s="194"/>
      <c r="T137" s="194"/>
      <c r="U137" s="194"/>
      <c r="V137" s="194"/>
      <c r="W137" s="194"/>
    </row>
    <row r="138">
      <c r="A138" s="205"/>
      <c r="B138" s="205"/>
      <c r="C138" s="194"/>
      <c r="D138" s="194"/>
      <c r="E138" s="194"/>
      <c r="F138" s="194"/>
      <c r="G138" s="194"/>
      <c r="H138" s="194"/>
      <c r="I138" s="194"/>
      <c r="J138" s="200"/>
      <c r="K138" s="193"/>
      <c r="L138" s="201"/>
      <c r="M138" s="202"/>
      <c r="N138" s="193"/>
      <c r="O138" s="194"/>
      <c r="P138" s="194"/>
      <c r="Q138" s="194"/>
      <c r="R138" s="194"/>
      <c r="S138" s="194"/>
      <c r="T138" s="194"/>
      <c r="U138" s="194"/>
      <c r="V138" s="194"/>
      <c r="W138" s="194"/>
    </row>
    <row r="139">
      <c r="A139" s="205"/>
      <c r="B139" s="205"/>
      <c r="C139" s="194"/>
      <c r="D139" s="194"/>
      <c r="E139" s="194"/>
      <c r="F139" s="194"/>
      <c r="G139" s="194"/>
      <c r="H139" s="194"/>
      <c r="I139" s="194"/>
      <c r="J139" s="200"/>
      <c r="K139" s="193"/>
      <c r="L139" s="201"/>
      <c r="M139" s="202"/>
      <c r="N139" s="193"/>
      <c r="O139" s="194"/>
      <c r="P139" s="194"/>
      <c r="Q139" s="194"/>
      <c r="R139" s="194"/>
      <c r="S139" s="194"/>
      <c r="T139" s="194"/>
      <c r="U139" s="194"/>
      <c r="V139" s="194"/>
      <c r="W139" s="194"/>
    </row>
    <row r="140">
      <c r="A140" s="205"/>
      <c r="B140" s="205"/>
      <c r="C140" s="194"/>
      <c r="D140" s="194"/>
      <c r="E140" s="194"/>
      <c r="F140" s="194"/>
      <c r="G140" s="194"/>
      <c r="H140" s="194"/>
      <c r="I140" s="194"/>
      <c r="J140" s="200"/>
      <c r="K140" s="193"/>
      <c r="L140" s="201"/>
      <c r="M140" s="202"/>
      <c r="N140" s="193"/>
      <c r="O140" s="194"/>
      <c r="P140" s="194"/>
      <c r="Q140" s="194"/>
      <c r="R140" s="194"/>
      <c r="S140" s="194"/>
      <c r="T140" s="194"/>
      <c r="U140" s="194"/>
      <c r="V140" s="194"/>
      <c r="W140" s="194"/>
    </row>
    <row r="141">
      <c r="A141" s="205"/>
      <c r="B141" s="205"/>
      <c r="C141" s="194"/>
      <c r="D141" s="194"/>
      <c r="E141" s="194"/>
      <c r="F141" s="194"/>
      <c r="G141" s="194"/>
      <c r="H141" s="194"/>
      <c r="I141" s="194"/>
      <c r="J141" s="200"/>
      <c r="K141" s="193"/>
      <c r="L141" s="201"/>
      <c r="M141" s="202"/>
      <c r="N141" s="193"/>
      <c r="O141" s="194"/>
      <c r="P141" s="194"/>
      <c r="Q141" s="194"/>
      <c r="R141" s="194"/>
      <c r="S141" s="194"/>
      <c r="T141" s="194"/>
      <c r="U141" s="194"/>
      <c r="V141" s="194"/>
      <c r="W141" s="194"/>
    </row>
    <row r="142">
      <c r="A142" s="205"/>
      <c r="B142" s="205"/>
      <c r="C142" s="194"/>
      <c r="D142" s="194"/>
      <c r="E142" s="194"/>
      <c r="F142" s="194"/>
      <c r="G142" s="194"/>
      <c r="H142" s="194"/>
      <c r="I142" s="194"/>
      <c r="J142" s="200"/>
      <c r="K142" s="193"/>
      <c r="L142" s="201"/>
      <c r="M142" s="202"/>
      <c r="N142" s="193"/>
      <c r="O142" s="194"/>
      <c r="P142" s="194"/>
      <c r="Q142" s="194"/>
      <c r="R142" s="194"/>
      <c r="S142" s="194"/>
      <c r="T142" s="194"/>
      <c r="U142" s="194"/>
      <c r="V142" s="194"/>
      <c r="W142" s="194"/>
    </row>
    <row r="143">
      <c r="A143" s="205"/>
      <c r="B143" s="205"/>
      <c r="C143" s="194"/>
      <c r="D143" s="194"/>
      <c r="E143" s="194"/>
      <c r="F143" s="194"/>
      <c r="G143" s="194"/>
      <c r="H143" s="194"/>
      <c r="I143" s="194"/>
      <c r="J143" s="200"/>
      <c r="K143" s="193"/>
      <c r="L143" s="201"/>
      <c r="M143" s="202"/>
      <c r="N143" s="193"/>
      <c r="O143" s="194"/>
      <c r="P143" s="194"/>
      <c r="Q143" s="194"/>
      <c r="R143" s="194"/>
      <c r="S143" s="194"/>
      <c r="T143" s="194"/>
      <c r="U143" s="194"/>
      <c r="V143" s="194"/>
      <c r="W143" s="194"/>
    </row>
    <row r="144">
      <c r="A144" s="205"/>
      <c r="B144" s="205"/>
      <c r="C144" s="194"/>
      <c r="D144" s="194"/>
      <c r="E144" s="194"/>
      <c r="F144" s="194"/>
      <c r="G144" s="194"/>
      <c r="H144" s="194"/>
      <c r="I144" s="194"/>
      <c r="J144" s="200"/>
      <c r="K144" s="193"/>
      <c r="L144" s="201"/>
      <c r="M144" s="202"/>
      <c r="N144" s="193"/>
      <c r="O144" s="194"/>
      <c r="P144" s="194"/>
      <c r="Q144" s="194"/>
      <c r="R144" s="194"/>
      <c r="S144" s="194"/>
      <c r="T144" s="194"/>
      <c r="U144" s="194"/>
      <c r="V144" s="194"/>
      <c r="W144" s="194"/>
    </row>
    <row r="145">
      <c r="A145" s="205"/>
      <c r="B145" s="205"/>
      <c r="C145" s="194"/>
      <c r="D145" s="194"/>
      <c r="E145" s="194"/>
      <c r="F145" s="194"/>
      <c r="G145" s="194"/>
      <c r="H145" s="194"/>
      <c r="I145" s="194"/>
      <c r="J145" s="200"/>
      <c r="K145" s="193"/>
      <c r="L145" s="201"/>
      <c r="M145" s="202"/>
      <c r="N145" s="193"/>
      <c r="O145" s="194"/>
      <c r="P145" s="194"/>
      <c r="Q145" s="194"/>
      <c r="R145" s="194"/>
      <c r="S145" s="194"/>
      <c r="T145" s="194"/>
      <c r="U145" s="194"/>
      <c r="V145" s="194"/>
      <c r="W145" s="194"/>
    </row>
    <row r="146">
      <c r="A146" s="205"/>
      <c r="B146" s="205"/>
      <c r="C146" s="194"/>
      <c r="D146" s="194"/>
      <c r="E146" s="194"/>
      <c r="F146" s="194"/>
      <c r="G146" s="194"/>
      <c r="H146" s="194"/>
      <c r="I146" s="194"/>
      <c r="J146" s="200"/>
      <c r="K146" s="193"/>
      <c r="L146" s="201"/>
      <c r="M146" s="202"/>
      <c r="N146" s="193"/>
      <c r="O146" s="194"/>
      <c r="P146" s="194"/>
      <c r="Q146" s="194"/>
      <c r="R146" s="194"/>
      <c r="S146" s="194"/>
      <c r="T146" s="194"/>
      <c r="U146" s="194"/>
      <c r="V146" s="194"/>
      <c r="W146" s="194"/>
    </row>
    <row r="147">
      <c r="A147" s="205"/>
      <c r="B147" s="205"/>
      <c r="C147" s="194"/>
      <c r="D147" s="194"/>
      <c r="E147" s="194"/>
      <c r="F147" s="194"/>
      <c r="G147" s="194"/>
      <c r="H147" s="194"/>
      <c r="I147" s="194"/>
      <c r="J147" s="200"/>
      <c r="K147" s="193"/>
      <c r="L147" s="201"/>
      <c r="M147" s="202"/>
      <c r="N147" s="193"/>
      <c r="O147" s="194"/>
      <c r="P147" s="194"/>
      <c r="Q147" s="194"/>
      <c r="R147" s="194"/>
      <c r="S147" s="194"/>
      <c r="T147" s="194"/>
      <c r="U147" s="194"/>
      <c r="V147" s="194"/>
      <c r="W147" s="194"/>
    </row>
    <row r="148">
      <c r="A148" s="205"/>
      <c r="B148" s="205"/>
      <c r="C148" s="194"/>
      <c r="D148" s="194"/>
      <c r="E148" s="194"/>
      <c r="F148" s="194"/>
      <c r="G148" s="194"/>
      <c r="H148" s="194"/>
      <c r="I148" s="194"/>
      <c r="J148" s="200"/>
      <c r="K148" s="193"/>
      <c r="L148" s="201"/>
      <c r="M148" s="202"/>
      <c r="N148" s="193"/>
      <c r="O148" s="194"/>
      <c r="P148" s="194"/>
      <c r="Q148" s="194"/>
      <c r="R148" s="194"/>
      <c r="S148" s="194"/>
      <c r="T148" s="194"/>
      <c r="U148" s="194"/>
      <c r="V148" s="194"/>
      <c r="W148" s="194"/>
    </row>
    <row r="149">
      <c r="A149" s="205"/>
      <c r="B149" s="205"/>
      <c r="C149" s="194"/>
      <c r="D149" s="194"/>
      <c r="E149" s="194"/>
      <c r="F149" s="194"/>
      <c r="G149" s="194"/>
      <c r="H149" s="194"/>
      <c r="I149" s="194"/>
      <c r="J149" s="200"/>
      <c r="K149" s="193"/>
      <c r="L149" s="201"/>
      <c r="M149" s="202"/>
      <c r="N149" s="193"/>
      <c r="O149" s="194"/>
      <c r="P149" s="194"/>
      <c r="Q149" s="194"/>
      <c r="R149" s="194"/>
      <c r="S149" s="194"/>
      <c r="T149" s="194"/>
      <c r="U149" s="194"/>
      <c r="V149" s="194"/>
      <c r="W149" s="194"/>
    </row>
    <row r="150">
      <c r="A150" s="205"/>
      <c r="B150" s="205"/>
      <c r="C150" s="194"/>
      <c r="D150" s="194"/>
      <c r="E150" s="194"/>
      <c r="F150" s="194"/>
      <c r="G150" s="194"/>
      <c r="H150" s="194"/>
      <c r="I150" s="194"/>
      <c r="J150" s="200"/>
      <c r="K150" s="193"/>
      <c r="L150" s="201"/>
      <c r="M150" s="202"/>
      <c r="N150" s="193"/>
      <c r="O150" s="194"/>
      <c r="P150" s="194"/>
      <c r="Q150" s="194"/>
      <c r="R150" s="194"/>
      <c r="S150" s="194"/>
      <c r="T150" s="194"/>
      <c r="U150" s="194"/>
      <c r="V150" s="194"/>
      <c r="W150" s="194"/>
    </row>
    <row r="151">
      <c r="A151" s="205"/>
      <c r="B151" s="205"/>
      <c r="C151" s="194"/>
      <c r="D151" s="194"/>
      <c r="E151" s="194"/>
      <c r="F151" s="194"/>
      <c r="G151" s="194"/>
      <c r="H151" s="194"/>
      <c r="I151" s="194"/>
      <c r="J151" s="200"/>
      <c r="K151" s="193"/>
      <c r="L151" s="201"/>
      <c r="M151" s="202"/>
      <c r="N151" s="193"/>
      <c r="O151" s="194"/>
      <c r="P151" s="194"/>
      <c r="Q151" s="194"/>
      <c r="R151" s="194"/>
      <c r="S151" s="194"/>
      <c r="T151" s="194"/>
      <c r="U151" s="194"/>
      <c r="V151" s="194"/>
      <c r="W151" s="194"/>
    </row>
    <row r="152">
      <c r="A152" s="205"/>
      <c r="B152" s="205"/>
      <c r="C152" s="194"/>
      <c r="D152" s="194"/>
      <c r="E152" s="194"/>
      <c r="F152" s="194"/>
      <c r="G152" s="194"/>
      <c r="H152" s="194"/>
      <c r="I152" s="194"/>
      <c r="J152" s="200"/>
      <c r="K152" s="193"/>
      <c r="L152" s="201"/>
      <c r="M152" s="202"/>
      <c r="N152" s="193"/>
      <c r="O152" s="194"/>
      <c r="P152" s="194"/>
      <c r="Q152" s="194"/>
      <c r="R152" s="194"/>
      <c r="S152" s="194"/>
      <c r="T152" s="194"/>
      <c r="U152" s="194"/>
      <c r="V152" s="194"/>
      <c r="W152" s="194"/>
    </row>
    <row r="153">
      <c r="A153" s="205"/>
      <c r="B153" s="205"/>
      <c r="C153" s="194"/>
      <c r="D153" s="194"/>
      <c r="E153" s="194"/>
      <c r="F153" s="194"/>
      <c r="G153" s="194"/>
      <c r="H153" s="194"/>
      <c r="I153" s="194"/>
      <c r="J153" s="200"/>
      <c r="K153" s="193"/>
      <c r="L153" s="201"/>
      <c r="M153" s="202"/>
      <c r="N153" s="193"/>
      <c r="O153" s="194"/>
      <c r="P153" s="194"/>
      <c r="Q153" s="194"/>
      <c r="R153" s="194"/>
      <c r="S153" s="194"/>
      <c r="T153" s="194"/>
      <c r="U153" s="194"/>
      <c r="V153" s="194"/>
      <c r="W153" s="194"/>
    </row>
    <row r="154">
      <c r="A154" s="205"/>
      <c r="B154" s="205"/>
      <c r="C154" s="194"/>
      <c r="D154" s="194"/>
      <c r="E154" s="194"/>
      <c r="F154" s="194"/>
      <c r="G154" s="194"/>
      <c r="H154" s="194"/>
      <c r="I154" s="194"/>
      <c r="J154" s="200"/>
      <c r="K154" s="193"/>
      <c r="L154" s="201"/>
      <c r="M154" s="202"/>
      <c r="N154" s="193"/>
      <c r="O154" s="194"/>
      <c r="P154" s="194"/>
      <c r="Q154" s="194"/>
      <c r="R154" s="194"/>
      <c r="S154" s="194"/>
      <c r="T154" s="194"/>
      <c r="U154" s="194"/>
      <c r="V154" s="194"/>
      <c r="W154" s="194"/>
    </row>
    <row r="155">
      <c r="A155" s="205"/>
      <c r="B155" s="205"/>
      <c r="C155" s="194"/>
      <c r="D155" s="194"/>
      <c r="E155" s="194"/>
      <c r="F155" s="194"/>
      <c r="G155" s="194"/>
      <c r="H155" s="194"/>
      <c r="I155" s="194"/>
      <c r="J155" s="200"/>
      <c r="K155" s="193"/>
      <c r="L155" s="201"/>
      <c r="M155" s="202"/>
      <c r="N155" s="193"/>
      <c r="O155" s="194"/>
      <c r="P155" s="194"/>
      <c r="Q155" s="194"/>
      <c r="R155" s="194"/>
      <c r="S155" s="194"/>
      <c r="T155" s="194"/>
      <c r="U155" s="194"/>
      <c r="V155" s="194"/>
      <c r="W155" s="194"/>
    </row>
    <row r="156">
      <c r="A156" s="205"/>
      <c r="B156" s="205"/>
      <c r="C156" s="194"/>
      <c r="D156" s="194"/>
      <c r="E156" s="194"/>
      <c r="F156" s="194"/>
      <c r="G156" s="194"/>
      <c r="H156" s="194"/>
      <c r="I156" s="194"/>
      <c r="J156" s="200"/>
      <c r="K156" s="193"/>
      <c r="L156" s="201"/>
      <c r="M156" s="202"/>
      <c r="N156" s="193"/>
      <c r="O156" s="194"/>
      <c r="P156" s="194"/>
      <c r="Q156" s="194"/>
      <c r="R156" s="194"/>
      <c r="S156" s="194"/>
      <c r="T156" s="194"/>
      <c r="U156" s="194"/>
      <c r="V156" s="194"/>
      <c r="W156" s="194"/>
    </row>
    <row r="157">
      <c r="A157" s="205"/>
      <c r="B157" s="205"/>
      <c r="C157" s="194"/>
      <c r="D157" s="194"/>
      <c r="E157" s="194"/>
      <c r="F157" s="194"/>
      <c r="G157" s="194"/>
      <c r="H157" s="194"/>
      <c r="I157" s="194"/>
      <c r="J157" s="200"/>
      <c r="K157" s="193"/>
      <c r="L157" s="201"/>
      <c r="M157" s="202"/>
      <c r="N157" s="193"/>
      <c r="O157" s="194"/>
      <c r="P157" s="194"/>
      <c r="Q157" s="194"/>
      <c r="R157" s="194"/>
      <c r="S157" s="194"/>
      <c r="T157" s="194"/>
      <c r="U157" s="194"/>
      <c r="V157" s="194"/>
      <c r="W157" s="194"/>
    </row>
    <row r="158">
      <c r="A158" s="205"/>
      <c r="B158" s="205"/>
      <c r="C158" s="194"/>
      <c r="D158" s="194"/>
      <c r="E158" s="194"/>
      <c r="F158" s="194"/>
      <c r="G158" s="194"/>
      <c r="H158" s="194"/>
      <c r="I158" s="194"/>
      <c r="J158" s="200"/>
      <c r="K158" s="193"/>
      <c r="L158" s="201"/>
      <c r="M158" s="202"/>
      <c r="N158" s="193"/>
      <c r="O158" s="194"/>
      <c r="P158" s="194"/>
      <c r="Q158" s="194"/>
      <c r="R158" s="194"/>
      <c r="S158" s="194"/>
      <c r="T158" s="194"/>
      <c r="U158" s="194"/>
      <c r="V158" s="194"/>
      <c r="W158" s="194"/>
    </row>
    <row r="159">
      <c r="A159" s="205"/>
      <c r="B159" s="205"/>
      <c r="C159" s="194"/>
      <c r="D159" s="194"/>
      <c r="E159" s="194"/>
      <c r="F159" s="194"/>
      <c r="G159" s="194"/>
      <c r="H159" s="194"/>
      <c r="I159" s="194"/>
      <c r="J159" s="200"/>
      <c r="K159" s="193"/>
      <c r="L159" s="201"/>
      <c r="M159" s="202"/>
      <c r="N159" s="193"/>
      <c r="O159" s="194"/>
      <c r="P159" s="194"/>
      <c r="Q159" s="194"/>
      <c r="R159" s="194"/>
      <c r="S159" s="194"/>
      <c r="T159" s="194"/>
      <c r="U159" s="194"/>
      <c r="V159" s="194"/>
      <c r="W159" s="194"/>
    </row>
    <row r="160">
      <c r="A160" s="205"/>
      <c r="B160" s="205"/>
      <c r="C160" s="194"/>
      <c r="D160" s="194"/>
      <c r="E160" s="194"/>
      <c r="F160" s="194"/>
      <c r="G160" s="194"/>
      <c r="H160" s="194"/>
      <c r="I160" s="194"/>
      <c r="J160" s="200"/>
      <c r="K160" s="193"/>
      <c r="L160" s="201"/>
      <c r="M160" s="202"/>
      <c r="N160" s="193"/>
      <c r="O160" s="194"/>
      <c r="P160" s="194"/>
      <c r="Q160" s="194"/>
      <c r="R160" s="194"/>
      <c r="S160" s="194"/>
      <c r="T160" s="194"/>
      <c r="U160" s="194"/>
      <c r="V160" s="194"/>
      <c r="W160" s="194"/>
    </row>
    <row r="161">
      <c r="A161" s="205"/>
      <c r="B161" s="205"/>
      <c r="C161" s="194"/>
      <c r="D161" s="194"/>
      <c r="E161" s="194"/>
      <c r="F161" s="194"/>
      <c r="G161" s="194"/>
      <c r="H161" s="194"/>
      <c r="I161" s="194"/>
      <c r="J161" s="200"/>
      <c r="K161" s="193"/>
      <c r="L161" s="201"/>
      <c r="M161" s="202"/>
      <c r="N161" s="193"/>
      <c r="O161" s="194"/>
      <c r="P161" s="194"/>
      <c r="Q161" s="194"/>
      <c r="R161" s="194"/>
      <c r="S161" s="194"/>
      <c r="T161" s="194"/>
      <c r="U161" s="194"/>
      <c r="V161" s="194"/>
      <c r="W161" s="194"/>
    </row>
    <row r="162">
      <c r="A162" s="205"/>
      <c r="B162" s="205"/>
      <c r="C162" s="194"/>
      <c r="D162" s="194"/>
      <c r="E162" s="194"/>
      <c r="F162" s="194"/>
      <c r="G162" s="194"/>
      <c r="H162" s="194"/>
      <c r="I162" s="194"/>
      <c r="J162" s="200"/>
      <c r="K162" s="193"/>
      <c r="L162" s="201"/>
      <c r="M162" s="202"/>
      <c r="N162" s="193"/>
      <c r="O162" s="194"/>
      <c r="P162" s="194"/>
      <c r="Q162" s="194"/>
      <c r="R162" s="194"/>
      <c r="S162" s="194"/>
      <c r="T162" s="194"/>
      <c r="U162" s="194"/>
      <c r="V162" s="194"/>
      <c r="W162" s="194"/>
    </row>
    <row r="163">
      <c r="A163" s="205"/>
      <c r="B163" s="205"/>
      <c r="C163" s="194"/>
      <c r="D163" s="194"/>
      <c r="E163" s="194"/>
      <c r="F163" s="194"/>
      <c r="G163" s="194"/>
      <c r="H163" s="194"/>
      <c r="I163" s="194"/>
      <c r="J163" s="200"/>
      <c r="K163" s="193"/>
      <c r="L163" s="201"/>
      <c r="M163" s="202"/>
      <c r="N163" s="193"/>
      <c r="O163" s="194"/>
      <c r="P163" s="194"/>
      <c r="Q163" s="194"/>
      <c r="R163" s="194"/>
      <c r="S163" s="194"/>
      <c r="T163" s="194"/>
      <c r="U163" s="194"/>
      <c r="V163" s="194"/>
      <c r="W163" s="194"/>
    </row>
    <row r="164">
      <c r="A164" s="205"/>
      <c r="B164" s="205"/>
      <c r="C164" s="194"/>
      <c r="D164" s="194"/>
      <c r="E164" s="194"/>
      <c r="F164" s="194"/>
      <c r="G164" s="194"/>
      <c r="H164" s="194"/>
      <c r="I164" s="194"/>
      <c r="J164" s="200"/>
      <c r="K164" s="193"/>
      <c r="L164" s="201"/>
      <c r="M164" s="202"/>
      <c r="N164" s="193"/>
      <c r="O164" s="194"/>
      <c r="P164" s="194"/>
      <c r="Q164" s="194"/>
      <c r="R164" s="194"/>
      <c r="S164" s="194"/>
      <c r="T164" s="194"/>
      <c r="U164" s="194"/>
      <c r="V164" s="194"/>
      <c r="W164" s="194"/>
    </row>
    <row r="165">
      <c r="A165" s="205"/>
      <c r="B165" s="205"/>
      <c r="C165" s="194"/>
      <c r="D165" s="194"/>
      <c r="E165" s="194"/>
      <c r="F165" s="194"/>
      <c r="G165" s="194"/>
      <c r="H165" s="194"/>
      <c r="I165" s="194"/>
      <c r="J165" s="200"/>
      <c r="K165" s="193"/>
      <c r="L165" s="201"/>
      <c r="M165" s="202"/>
      <c r="N165" s="193"/>
      <c r="O165" s="194"/>
      <c r="P165" s="194"/>
      <c r="Q165" s="194"/>
      <c r="R165" s="194"/>
      <c r="S165" s="194"/>
      <c r="T165" s="194"/>
      <c r="U165" s="194"/>
      <c r="V165" s="194"/>
      <c r="W165" s="194"/>
    </row>
    <row r="166">
      <c r="A166" s="205"/>
      <c r="B166" s="205"/>
      <c r="C166" s="194"/>
      <c r="D166" s="194"/>
      <c r="E166" s="194"/>
      <c r="F166" s="194"/>
      <c r="G166" s="194"/>
      <c r="H166" s="194"/>
      <c r="I166" s="194"/>
      <c r="J166" s="200"/>
      <c r="K166" s="193"/>
      <c r="L166" s="201"/>
      <c r="M166" s="202"/>
      <c r="N166" s="193"/>
      <c r="O166" s="194"/>
      <c r="P166" s="194"/>
      <c r="Q166" s="194"/>
      <c r="R166" s="194"/>
      <c r="S166" s="194"/>
      <c r="T166" s="194"/>
      <c r="U166" s="194"/>
      <c r="V166" s="194"/>
      <c r="W166" s="194"/>
    </row>
    <row r="167">
      <c r="A167" s="205"/>
      <c r="B167" s="205"/>
      <c r="C167" s="194"/>
      <c r="D167" s="194"/>
      <c r="E167" s="194"/>
      <c r="F167" s="194"/>
      <c r="G167" s="194"/>
      <c r="H167" s="194"/>
      <c r="I167" s="194"/>
      <c r="J167" s="200"/>
      <c r="K167" s="193"/>
      <c r="L167" s="201"/>
      <c r="M167" s="202"/>
      <c r="N167" s="193"/>
      <c r="O167" s="194"/>
      <c r="P167" s="194"/>
      <c r="Q167" s="194"/>
      <c r="R167" s="194"/>
      <c r="S167" s="194"/>
      <c r="T167" s="194"/>
      <c r="U167" s="194"/>
      <c r="V167" s="194"/>
      <c r="W167" s="194"/>
    </row>
    <row r="168">
      <c r="A168" s="205"/>
      <c r="B168" s="205"/>
      <c r="C168" s="194"/>
      <c r="D168" s="194"/>
      <c r="E168" s="194"/>
      <c r="F168" s="194"/>
      <c r="G168" s="194"/>
      <c r="H168" s="194"/>
      <c r="I168" s="194"/>
      <c r="J168" s="200"/>
      <c r="K168" s="193"/>
      <c r="L168" s="201"/>
      <c r="M168" s="202"/>
      <c r="N168" s="193"/>
      <c r="O168" s="194"/>
      <c r="P168" s="194"/>
      <c r="Q168" s="194"/>
      <c r="R168" s="194"/>
      <c r="S168" s="194"/>
      <c r="T168" s="194"/>
      <c r="U168" s="194"/>
      <c r="V168" s="194"/>
      <c r="W168" s="194"/>
    </row>
    <row r="169">
      <c r="A169" s="205"/>
      <c r="B169" s="205"/>
      <c r="C169" s="194"/>
      <c r="D169" s="194"/>
      <c r="E169" s="194"/>
      <c r="F169" s="194"/>
      <c r="G169" s="194"/>
      <c r="H169" s="194"/>
      <c r="I169" s="194"/>
      <c r="J169" s="200"/>
      <c r="K169" s="193"/>
      <c r="L169" s="201"/>
      <c r="M169" s="202"/>
      <c r="N169" s="193"/>
      <c r="O169" s="194"/>
      <c r="P169" s="194"/>
      <c r="Q169" s="194"/>
      <c r="R169" s="194"/>
      <c r="S169" s="194"/>
      <c r="T169" s="194"/>
      <c r="U169" s="194"/>
      <c r="V169" s="194"/>
      <c r="W169" s="194"/>
    </row>
    <row r="170">
      <c r="A170" s="205"/>
      <c r="B170" s="205"/>
      <c r="C170" s="194"/>
      <c r="D170" s="194"/>
      <c r="E170" s="194"/>
      <c r="F170" s="194"/>
      <c r="G170" s="194"/>
      <c r="H170" s="194"/>
      <c r="I170" s="194"/>
      <c r="J170" s="200"/>
      <c r="K170" s="193"/>
      <c r="L170" s="201"/>
      <c r="M170" s="202"/>
      <c r="N170" s="193"/>
      <c r="O170" s="194"/>
      <c r="P170" s="194"/>
      <c r="Q170" s="194"/>
      <c r="R170" s="194"/>
      <c r="S170" s="194"/>
      <c r="T170" s="194"/>
      <c r="U170" s="194"/>
      <c r="V170" s="194"/>
      <c r="W170" s="194"/>
    </row>
    <row r="171">
      <c r="A171" s="205"/>
      <c r="B171" s="205"/>
      <c r="C171" s="194"/>
      <c r="D171" s="194"/>
      <c r="E171" s="194"/>
      <c r="F171" s="194"/>
      <c r="G171" s="194"/>
      <c r="H171" s="194"/>
      <c r="I171" s="194"/>
      <c r="J171" s="200"/>
      <c r="K171" s="193"/>
      <c r="L171" s="201"/>
      <c r="M171" s="202"/>
      <c r="N171" s="193"/>
      <c r="O171" s="194"/>
      <c r="P171" s="194"/>
      <c r="Q171" s="194"/>
      <c r="R171" s="194"/>
      <c r="S171" s="194"/>
      <c r="T171" s="194"/>
      <c r="U171" s="194"/>
      <c r="V171" s="194"/>
      <c r="W171" s="194"/>
    </row>
    <row r="172">
      <c r="A172" s="205"/>
      <c r="B172" s="205"/>
      <c r="C172" s="194"/>
      <c r="D172" s="194"/>
      <c r="E172" s="194"/>
      <c r="F172" s="194"/>
      <c r="G172" s="194"/>
      <c r="H172" s="194"/>
      <c r="I172" s="194"/>
      <c r="J172" s="200"/>
      <c r="K172" s="193"/>
      <c r="L172" s="201"/>
      <c r="M172" s="202"/>
      <c r="N172" s="193"/>
      <c r="O172" s="194"/>
      <c r="P172" s="194"/>
      <c r="Q172" s="194"/>
      <c r="R172" s="194"/>
      <c r="S172" s="194"/>
      <c r="T172" s="194"/>
      <c r="U172" s="194"/>
      <c r="V172" s="194"/>
      <c r="W172" s="194"/>
    </row>
    <row r="173">
      <c r="A173" s="205"/>
      <c r="B173" s="205"/>
      <c r="C173" s="194"/>
      <c r="D173" s="194"/>
      <c r="E173" s="194"/>
      <c r="F173" s="194"/>
      <c r="G173" s="194"/>
      <c r="H173" s="194"/>
      <c r="I173" s="194"/>
      <c r="J173" s="200"/>
      <c r="K173" s="193"/>
      <c r="L173" s="201"/>
      <c r="M173" s="202"/>
      <c r="N173" s="193"/>
      <c r="O173" s="194"/>
      <c r="P173" s="194"/>
      <c r="Q173" s="194"/>
      <c r="R173" s="194"/>
      <c r="S173" s="194"/>
      <c r="T173" s="194"/>
      <c r="U173" s="194"/>
      <c r="V173" s="194"/>
      <c r="W173" s="194"/>
    </row>
    <row r="174">
      <c r="A174" s="205"/>
      <c r="B174" s="205"/>
      <c r="C174" s="194"/>
      <c r="D174" s="194"/>
      <c r="E174" s="194"/>
      <c r="F174" s="194"/>
      <c r="G174" s="194"/>
      <c r="H174" s="194"/>
      <c r="I174" s="194"/>
      <c r="J174" s="200"/>
      <c r="K174" s="193"/>
      <c r="L174" s="201"/>
      <c r="M174" s="202"/>
      <c r="N174" s="193"/>
      <c r="O174" s="194"/>
      <c r="P174" s="194"/>
      <c r="Q174" s="194"/>
      <c r="R174" s="194"/>
      <c r="S174" s="194"/>
      <c r="T174" s="194"/>
      <c r="U174" s="194"/>
      <c r="V174" s="194"/>
      <c r="W174" s="194"/>
    </row>
    <row r="175">
      <c r="A175" s="205"/>
      <c r="B175" s="205"/>
      <c r="C175" s="194"/>
      <c r="D175" s="194"/>
      <c r="E175" s="194"/>
      <c r="F175" s="194"/>
      <c r="G175" s="194"/>
      <c r="H175" s="194"/>
      <c r="I175" s="194"/>
      <c r="J175" s="200"/>
      <c r="K175" s="193"/>
      <c r="L175" s="201"/>
      <c r="M175" s="202"/>
      <c r="N175" s="193"/>
      <c r="O175" s="194"/>
      <c r="P175" s="194"/>
      <c r="Q175" s="194"/>
      <c r="R175" s="194"/>
      <c r="S175" s="194"/>
      <c r="T175" s="194"/>
      <c r="U175" s="194"/>
      <c r="V175" s="194"/>
      <c r="W175" s="194"/>
    </row>
    <row r="176">
      <c r="A176" s="205"/>
      <c r="B176" s="205"/>
      <c r="C176" s="194"/>
      <c r="D176" s="194"/>
      <c r="E176" s="194"/>
      <c r="F176" s="194"/>
      <c r="G176" s="194"/>
      <c r="H176" s="194"/>
      <c r="I176" s="194"/>
      <c r="J176" s="200"/>
      <c r="K176" s="193"/>
      <c r="L176" s="201"/>
      <c r="M176" s="202"/>
      <c r="N176" s="193"/>
      <c r="O176" s="194"/>
      <c r="P176" s="194"/>
      <c r="Q176" s="194"/>
      <c r="R176" s="194"/>
      <c r="S176" s="194"/>
      <c r="T176" s="194"/>
      <c r="U176" s="194"/>
      <c r="V176" s="194"/>
      <c r="W176" s="194"/>
    </row>
    <row r="177">
      <c r="A177" s="205"/>
      <c r="B177" s="205"/>
      <c r="C177" s="194"/>
      <c r="D177" s="194"/>
      <c r="E177" s="194"/>
      <c r="F177" s="194"/>
      <c r="G177" s="194"/>
      <c r="H177" s="194"/>
      <c r="I177" s="194"/>
      <c r="J177" s="200"/>
      <c r="K177" s="193"/>
      <c r="L177" s="201"/>
      <c r="M177" s="202"/>
      <c r="N177" s="193"/>
      <c r="O177" s="194"/>
      <c r="P177" s="194"/>
      <c r="Q177" s="194"/>
      <c r="R177" s="194"/>
      <c r="S177" s="194"/>
      <c r="T177" s="194"/>
      <c r="U177" s="194"/>
      <c r="V177" s="194"/>
      <c r="W177" s="194"/>
    </row>
    <row r="178">
      <c r="A178" s="205"/>
      <c r="B178" s="205"/>
      <c r="C178" s="194"/>
      <c r="D178" s="194"/>
      <c r="E178" s="194"/>
      <c r="F178" s="194"/>
      <c r="G178" s="194"/>
      <c r="H178" s="194"/>
      <c r="I178" s="194"/>
      <c r="J178" s="200"/>
      <c r="K178" s="193"/>
      <c r="L178" s="201"/>
      <c r="M178" s="202"/>
      <c r="N178" s="193"/>
      <c r="O178" s="194"/>
      <c r="P178" s="194"/>
      <c r="Q178" s="194"/>
      <c r="R178" s="194"/>
      <c r="S178" s="194"/>
      <c r="T178" s="194"/>
      <c r="U178" s="194"/>
      <c r="V178" s="194"/>
      <c r="W178" s="194"/>
    </row>
    <row r="179">
      <c r="A179" s="205"/>
      <c r="B179" s="205"/>
      <c r="C179" s="194"/>
      <c r="D179" s="194"/>
      <c r="E179" s="194"/>
      <c r="F179" s="194"/>
      <c r="G179" s="194"/>
      <c r="H179" s="194"/>
      <c r="I179" s="194"/>
      <c r="J179" s="200"/>
      <c r="K179" s="193"/>
      <c r="L179" s="201"/>
      <c r="M179" s="202"/>
      <c r="N179" s="193"/>
      <c r="O179" s="194"/>
      <c r="P179" s="194"/>
      <c r="Q179" s="194"/>
      <c r="R179" s="194"/>
      <c r="S179" s="194"/>
      <c r="T179" s="194"/>
      <c r="U179" s="194"/>
      <c r="V179" s="194"/>
      <c r="W179" s="194"/>
    </row>
    <row r="180">
      <c r="A180" s="205"/>
      <c r="B180" s="205"/>
      <c r="C180" s="194"/>
      <c r="D180" s="194"/>
      <c r="E180" s="194"/>
      <c r="F180" s="194"/>
      <c r="G180" s="194"/>
      <c r="H180" s="194"/>
      <c r="I180" s="194"/>
      <c r="J180" s="200"/>
      <c r="K180" s="193"/>
      <c r="L180" s="201"/>
      <c r="M180" s="202"/>
      <c r="N180" s="193"/>
      <c r="O180" s="194"/>
      <c r="P180" s="194"/>
      <c r="Q180" s="194"/>
      <c r="R180" s="194"/>
      <c r="S180" s="194"/>
      <c r="T180" s="194"/>
      <c r="U180" s="194"/>
      <c r="V180" s="194"/>
      <c r="W180" s="194"/>
    </row>
    <row r="181">
      <c r="A181" s="205"/>
      <c r="B181" s="205"/>
      <c r="C181" s="194"/>
      <c r="D181" s="194"/>
      <c r="E181" s="194"/>
      <c r="F181" s="194"/>
      <c r="G181" s="194"/>
      <c r="H181" s="194"/>
      <c r="I181" s="194"/>
      <c r="J181" s="200"/>
      <c r="K181" s="193"/>
      <c r="L181" s="201"/>
      <c r="M181" s="202"/>
      <c r="N181" s="193"/>
      <c r="O181" s="194"/>
      <c r="P181" s="194"/>
      <c r="Q181" s="194"/>
      <c r="R181" s="194"/>
      <c r="S181" s="194"/>
      <c r="T181" s="194"/>
      <c r="U181" s="194"/>
      <c r="V181" s="194"/>
      <c r="W181" s="194"/>
    </row>
    <row r="182">
      <c r="A182" s="205"/>
      <c r="B182" s="205"/>
      <c r="C182" s="194"/>
      <c r="D182" s="194"/>
      <c r="E182" s="194"/>
      <c r="F182" s="194"/>
      <c r="G182" s="194"/>
      <c r="H182" s="194"/>
      <c r="I182" s="194"/>
      <c r="J182" s="200"/>
      <c r="K182" s="193"/>
      <c r="L182" s="201"/>
      <c r="M182" s="202"/>
      <c r="N182" s="193"/>
      <c r="O182" s="194"/>
      <c r="P182" s="194"/>
      <c r="Q182" s="194"/>
      <c r="R182" s="194"/>
      <c r="S182" s="194"/>
      <c r="T182" s="194"/>
      <c r="U182" s="194"/>
      <c r="V182" s="194"/>
      <c r="W182" s="194"/>
    </row>
    <row r="183">
      <c r="A183" s="205"/>
      <c r="B183" s="205"/>
      <c r="C183" s="194"/>
      <c r="D183" s="194"/>
      <c r="E183" s="194"/>
      <c r="F183" s="194"/>
      <c r="G183" s="194"/>
      <c r="H183" s="194"/>
      <c r="I183" s="194"/>
      <c r="J183" s="200"/>
      <c r="K183" s="193"/>
      <c r="L183" s="201"/>
      <c r="M183" s="202"/>
      <c r="N183" s="193"/>
      <c r="O183" s="194"/>
      <c r="P183" s="194"/>
      <c r="Q183" s="194"/>
      <c r="R183" s="194"/>
      <c r="S183" s="194"/>
      <c r="T183" s="194"/>
      <c r="U183" s="194"/>
      <c r="V183" s="194"/>
      <c r="W183" s="194"/>
    </row>
    <row r="184">
      <c r="A184" s="205"/>
      <c r="B184" s="205"/>
      <c r="C184" s="194"/>
      <c r="D184" s="194"/>
      <c r="E184" s="194"/>
      <c r="F184" s="194"/>
      <c r="G184" s="194"/>
      <c r="H184" s="194"/>
      <c r="I184" s="194"/>
      <c r="J184" s="200"/>
      <c r="K184" s="193"/>
      <c r="L184" s="201"/>
      <c r="M184" s="202"/>
      <c r="N184" s="193"/>
      <c r="O184" s="194"/>
      <c r="P184" s="194"/>
      <c r="Q184" s="194"/>
      <c r="R184" s="194"/>
      <c r="S184" s="194"/>
      <c r="T184" s="194"/>
      <c r="U184" s="194"/>
      <c r="V184" s="194"/>
      <c r="W184" s="194"/>
    </row>
    <row r="185">
      <c r="A185" s="205"/>
      <c r="B185" s="205"/>
      <c r="C185" s="194"/>
      <c r="D185" s="194"/>
      <c r="E185" s="194"/>
      <c r="F185" s="194"/>
      <c r="G185" s="194"/>
      <c r="H185" s="194"/>
      <c r="I185" s="194"/>
      <c r="J185" s="200"/>
      <c r="K185" s="193"/>
      <c r="L185" s="201"/>
      <c r="M185" s="202"/>
      <c r="N185" s="193"/>
      <c r="O185" s="194"/>
      <c r="P185" s="194"/>
      <c r="Q185" s="194"/>
      <c r="R185" s="194"/>
      <c r="S185" s="194"/>
      <c r="T185" s="194"/>
      <c r="U185" s="194"/>
      <c r="V185" s="194"/>
      <c r="W185" s="194"/>
    </row>
    <row r="186">
      <c r="A186" s="205"/>
      <c r="B186" s="205"/>
      <c r="C186" s="194"/>
      <c r="D186" s="194"/>
      <c r="E186" s="194"/>
      <c r="F186" s="194"/>
      <c r="G186" s="194"/>
      <c r="H186" s="194"/>
      <c r="I186" s="194"/>
      <c r="J186" s="200"/>
      <c r="K186" s="193"/>
      <c r="L186" s="201"/>
      <c r="M186" s="202"/>
      <c r="N186" s="193"/>
      <c r="O186" s="194"/>
      <c r="P186" s="194"/>
      <c r="Q186" s="194"/>
      <c r="R186" s="194"/>
      <c r="S186" s="194"/>
      <c r="T186" s="194"/>
      <c r="U186" s="194"/>
      <c r="V186" s="194"/>
      <c r="W186" s="194"/>
    </row>
    <row r="187">
      <c r="A187" s="205"/>
      <c r="B187" s="205"/>
      <c r="C187" s="194"/>
      <c r="D187" s="194"/>
      <c r="E187" s="194"/>
      <c r="F187" s="194"/>
      <c r="G187" s="194"/>
      <c r="H187" s="194"/>
      <c r="I187" s="194"/>
      <c r="J187" s="200"/>
      <c r="K187" s="193"/>
      <c r="L187" s="201"/>
      <c r="M187" s="202"/>
      <c r="N187" s="193"/>
      <c r="O187" s="194"/>
      <c r="P187" s="194"/>
      <c r="Q187" s="194"/>
      <c r="R187" s="194"/>
      <c r="S187" s="194"/>
      <c r="T187" s="194"/>
      <c r="U187" s="194"/>
      <c r="V187" s="194"/>
      <c r="W187" s="194"/>
    </row>
    <row r="188">
      <c r="A188" s="205"/>
      <c r="B188" s="205"/>
      <c r="C188" s="194"/>
      <c r="D188" s="194"/>
      <c r="E188" s="194"/>
      <c r="F188" s="194"/>
      <c r="G188" s="194"/>
      <c r="H188" s="194"/>
      <c r="I188" s="194"/>
      <c r="J188" s="200"/>
      <c r="K188" s="193"/>
      <c r="L188" s="201"/>
      <c r="M188" s="202"/>
      <c r="N188" s="193"/>
      <c r="O188" s="194"/>
      <c r="P188" s="194"/>
      <c r="Q188" s="194"/>
      <c r="R188" s="194"/>
      <c r="S188" s="194"/>
      <c r="T188" s="194"/>
      <c r="U188" s="194"/>
      <c r="V188" s="194"/>
      <c r="W188" s="194"/>
    </row>
    <row r="189">
      <c r="A189" s="205"/>
      <c r="B189" s="205"/>
      <c r="C189" s="194"/>
      <c r="D189" s="194"/>
      <c r="E189" s="194"/>
      <c r="F189" s="194"/>
      <c r="G189" s="194"/>
      <c r="H189" s="194"/>
      <c r="I189" s="194"/>
      <c r="J189" s="200"/>
      <c r="K189" s="193"/>
      <c r="L189" s="201"/>
      <c r="M189" s="202"/>
      <c r="N189" s="193"/>
      <c r="O189" s="194"/>
      <c r="P189" s="194"/>
      <c r="Q189" s="194"/>
      <c r="R189" s="194"/>
      <c r="S189" s="194"/>
      <c r="T189" s="194"/>
      <c r="U189" s="194"/>
      <c r="V189" s="194"/>
      <c r="W189" s="194"/>
    </row>
    <row r="190">
      <c r="A190" s="205"/>
      <c r="B190" s="205"/>
      <c r="C190" s="194"/>
      <c r="D190" s="194"/>
      <c r="E190" s="194"/>
      <c r="F190" s="194"/>
      <c r="G190" s="194"/>
      <c r="H190" s="194"/>
      <c r="I190" s="194"/>
      <c r="J190" s="200"/>
      <c r="K190" s="193"/>
      <c r="L190" s="201"/>
      <c r="M190" s="202"/>
      <c r="N190" s="193"/>
      <c r="O190" s="194"/>
      <c r="P190" s="194"/>
      <c r="Q190" s="194"/>
      <c r="R190" s="194"/>
      <c r="S190" s="194"/>
      <c r="T190" s="194"/>
      <c r="U190" s="194"/>
      <c r="V190" s="194"/>
      <c r="W190" s="194"/>
    </row>
    <row r="191">
      <c r="A191" s="205"/>
      <c r="B191" s="205"/>
      <c r="C191" s="194"/>
      <c r="D191" s="194"/>
      <c r="E191" s="194"/>
      <c r="F191" s="194"/>
      <c r="G191" s="194"/>
      <c r="H191" s="194"/>
      <c r="I191" s="194"/>
      <c r="J191" s="200"/>
      <c r="K191" s="193"/>
      <c r="L191" s="201"/>
      <c r="M191" s="202"/>
      <c r="N191" s="193"/>
      <c r="O191" s="194"/>
      <c r="P191" s="194"/>
      <c r="Q191" s="194"/>
      <c r="R191" s="194"/>
      <c r="S191" s="194"/>
      <c r="T191" s="194"/>
      <c r="U191" s="194"/>
      <c r="V191" s="194"/>
      <c r="W191" s="194"/>
    </row>
    <row r="192">
      <c r="A192" s="205"/>
      <c r="B192" s="205"/>
      <c r="C192" s="194"/>
      <c r="D192" s="194"/>
      <c r="E192" s="194"/>
      <c r="F192" s="194"/>
      <c r="G192" s="194"/>
      <c r="H192" s="194"/>
      <c r="I192" s="194"/>
      <c r="J192" s="200"/>
      <c r="K192" s="193"/>
      <c r="L192" s="201"/>
      <c r="M192" s="202"/>
      <c r="N192" s="193"/>
      <c r="O192" s="194"/>
      <c r="P192" s="194"/>
      <c r="Q192" s="194"/>
      <c r="R192" s="194"/>
      <c r="S192" s="194"/>
      <c r="T192" s="194"/>
      <c r="U192" s="194"/>
      <c r="V192" s="194"/>
      <c r="W192" s="194"/>
    </row>
    <row r="193">
      <c r="A193" s="205"/>
      <c r="B193" s="205"/>
      <c r="C193" s="194"/>
      <c r="D193" s="194"/>
      <c r="E193" s="194"/>
      <c r="F193" s="194"/>
      <c r="G193" s="194"/>
      <c r="H193" s="194"/>
      <c r="I193" s="194"/>
      <c r="J193" s="200"/>
      <c r="K193" s="193"/>
      <c r="L193" s="201"/>
      <c r="M193" s="202"/>
      <c r="N193" s="193"/>
      <c r="O193" s="194"/>
      <c r="P193" s="194"/>
      <c r="Q193" s="194"/>
      <c r="R193" s="194"/>
      <c r="S193" s="194"/>
      <c r="T193" s="194"/>
      <c r="U193" s="194"/>
      <c r="V193" s="194"/>
      <c r="W193" s="194"/>
    </row>
    <row r="194">
      <c r="A194" s="205"/>
      <c r="B194" s="205"/>
      <c r="C194" s="194"/>
      <c r="D194" s="194"/>
      <c r="E194" s="194"/>
      <c r="F194" s="194"/>
      <c r="G194" s="194"/>
      <c r="H194" s="194"/>
      <c r="I194" s="194"/>
      <c r="J194" s="200"/>
      <c r="K194" s="193"/>
      <c r="L194" s="201"/>
      <c r="M194" s="202"/>
      <c r="N194" s="193"/>
      <c r="O194" s="194"/>
      <c r="P194" s="194"/>
      <c r="Q194" s="194"/>
      <c r="R194" s="194"/>
      <c r="S194" s="194"/>
      <c r="T194" s="194"/>
      <c r="U194" s="194"/>
      <c r="V194" s="194"/>
      <c r="W194" s="194"/>
    </row>
    <row r="195">
      <c r="A195" s="205"/>
      <c r="B195" s="205"/>
      <c r="C195" s="194"/>
      <c r="D195" s="194"/>
      <c r="E195" s="194"/>
      <c r="F195" s="194"/>
      <c r="G195" s="194"/>
      <c r="H195" s="194"/>
      <c r="I195" s="194"/>
      <c r="J195" s="200"/>
      <c r="K195" s="193"/>
      <c r="L195" s="201"/>
      <c r="M195" s="202"/>
      <c r="N195" s="193"/>
      <c r="O195" s="194"/>
      <c r="P195" s="194"/>
      <c r="Q195" s="194"/>
      <c r="R195" s="194"/>
      <c r="S195" s="194"/>
      <c r="T195" s="194"/>
      <c r="U195" s="194"/>
      <c r="V195" s="194"/>
      <c r="W195" s="194"/>
    </row>
    <row r="196">
      <c r="A196" s="205"/>
      <c r="B196" s="205"/>
      <c r="C196" s="194"/>
      <c r="D196" s="194"/>
      <c r="E196" s="194"/>
      <c r="F196" s="194"/>
      <c r="G196" s="194"/>
      <c r="H196" s="194"/>
      <c r="I196" s="194"/>
      <c r="J196" s="200"/>
      <c r="K196" s="193"/>
      <c r="L196" s="201"/>
      <c r="M196" s="202"/>
      <c r="N196" s="193"/>
      <c r="O196" s="194"/>
      <c r="P196" s="194"/>
      <c r="Q196" s="194"/>
      <c r="R196" s="194"/>
      <c r="S196" s="194"/>
      <c r="T196" s="194"/>
      <c r="U196" s="194"/>
      <c r="V196" s="194"/>
      <c r="W196" s="194"/>
    </row>
    <row r="197">
      <c r="A197" s="205"/>
      <c r="B197" s="205"/>
      <c r="C197" s="194"/>
      <c r="D197" s="194"/>
      <c r="E197" s="194"/>
      <c r="F197" s="194"/>
      <c r="G197" s="194"/>
      <c r="H197" s="194"/>
      <c r="I197" s="194"/>
      <c r="J197" s="200"/>
      <c r="K197" s="193"/>
      <c r="L197" s="201"/>
      <c r="M197" s="202"/>
      <c r="N197" s="193"/>
      <c r="O197" s="194"/>
      <c r="P197" s="194"/>
      <c r="Q197" s="194"/>
      <c r="R197" s="194"/>
      <c r="S197" s="194"/>
      <c r="T197" s="194"/>
      <c r="U197" s="194"/>
      <c r="V197" s="194"/>
      <c r="W197" s="194"/>
    </row>
    <row r="198">
      <c r="A198" s="205"/>
      <c r="B198" s="205"/>
      <c r="C198" s="194"/>
      <c r="D198" s="194"/>
      <c r="E198" s="194"/>
      <c r="F198" s="194"/>
      <c r="G198" s="194"/>
      <c r="H198" s="194"/>
      <c r="I198" s="194"/>
      <c r="J198" s="200"/>
      <c r="K198" s="193"/>
      <c r="L198" s="201"/>
      <c r="M198" s="202"/>
      <c r="N198" s="193"/>
      <c r="O198" s="194"/>
      <c r="P198" s="194"/>
      <c r="Q198" s="194"/>
      <c r="R198" s="194"/>
      <c r="S198" s="194"/>
      <c r="T198" s="194"/>
      <c r="U198" s="194"/>
      <c r="V198" s="194"/>
      <c r="W198" s="194"/>
    </row>
    <row r="199">
      <c r="A199" s="205"/>
      <c r="B199" s="205"/>
      <c r="C199" s="194"/>
      <c r="D199" s="194"/>
      <c r="E199" s="194"/>
      <c r="F199" s="194"/>
      <c r="G199" s="194"/>
      <c r="H199" s="194"/>
      <c r="I199" s="194"/>
      <c r="J199" s="200"/>
      <c r="K199" s="193"/>
      <c r="L199" s="201"/>
      <c r="M199" s="202"/>
      <c r="N199" s="193"/>
      <c r="O199" s="194"/>
      <c r="P199" s="194"/>
      <c r="Q199" s="194"/>
      <c r="R199" s="194"/>
      <c r="S199" s="194"/>
      <c r="T199" s="194"/>
      <c r="U199" s="194"/>
      <c r="V199" s="194"/>
      <c r="W199" s="194"/>
    </row>
    <row r="200">
      <c r="A200" s="205"/>
      <c r="B200" s="205"/>
      <c r="C200" s="194"/>
      <c r="D200" s="194"/>
      <c r="E200" s="194"/>
      <c r="F200" s="194"/>
      <c r="G200" s="194"/>
      <c r="H200" s="194"/>
      <c r="I200" s="194"/>
      <c r="J200" s="200"/>
      <c r="K200" s="193"/>
      <c r="L200" s="201"/>
      <c r="M200" s="202"/>
      <c r="N200" s="193"/>
      <c r="O200" s="194"/>
      <c r="P200" s="194"/>
      <c r="Q200" s="194"/>
      <c r="R200" s="194"/>
      <c r="S200" s="194"/>
      <c r="T200" s="194"/>
      <c r="U200" s="194"/>
      <c r="V200" s="194"/>
      <c r="W200" s="194"/>
    </row>
    <row r="201">
      <c r="A201" s="205"/>
      <c r="B201" s="205"/>
      <c r="C201" s="194"/>
      <c r="D201" s="194"/>
      <c r="E201" s="194"/>
      <c r="F201" s="194"/>
      <c r="G201" s="194"/>
      <c r="H201" s="194"/>
      <c r="I201" s="194"/>
      <c r="J201" s="200"/>
      <c r="K201" s="193"/>
      <c r="L201" s="201"/>
      <c r="M201" s="202"/>
      <c r="N201" s="193"/>
      <c r="O201" s="194"/>
      <c r="P201" s="194"/>
      <c r="Q201" s="194"/>
      <c r="R201" s="194"/>
      <c r="S201" s="194"/>
      <c r="T201" s="194"/>
      <c r="U201" s="194"/>
      <c r="V201" s="194"/>
      <c r="W201" s="194"/>
    </row>
    <row r="202">
      <c r="A202" s="205"/>
      <c r="B202" s="205"/>
      <c r="C202" s="194"/>
      <c r="D202" s="194"/>
      <c r="E202" s="194"/>
      <c r="F202" s="194"/>
      <c r="G202" s="194"/>
      <c r="H202" s="194"/>
      <c r="I202" s="194"/>
      <c r="J202" s="200"/>
      <c r="K202" s="193"/>
      <c r="L202" s="201"/>
      <c r="M202" s="202"/>
      <c r="N202" s="193"/>
      <c r="O202" s="194"/>
      <c r="P202" s="194"/>
      <c r="Q202" s="194"/>
      <c r="R202" s="194"/>
      <c r="S202" s="194"/>
      <c r="T202" s="194"/>
      <c r="U202" s="194"/>
      <c r="V202" s="194"/>
      <c r="W202" s="194"/>
    </row>
    <row r="203">
      <c r="A203" s="205"/>
      <c r="B203" s="205"/>
      <c r="C203" s="194"/>
      <c r="D203" s="194"/>
      <c r="E203" s="194"/>
      <c r="F203" s="194"/>
      <c r="G203" s="194"/>
      <c r="H203" s="194"/>
      <c r="I203" s="194"/>
      <c r="J203" s="200"/>
      <c r="K203" s="193"/>
      <c r="L203" s="201"/>
      <c r="M203" s="202"/>
      <c r="N203" s="193"/>
      <c r="O203" s="194"/>
      <c r="P203" s="194"/>
      <c r="Q203" s="194"/>
      <c r="R203" s="194"/>
      <c r="S203" s="194"/>
      <c r="T203" s="194"/>
      <c r="U203" s="194"/>
      <c r="V203" s="194"/>
      <c r="W203" s="194"/>
    </row>
    <row r="204">
      <c r="A204" s="205"/>
      <c r="B204" s="205"/>
      <c r="C204" s="194"/>
      <c r="D204" s="194"/>
      <c r="E204" s="194"/>
      <c r="F204" s="194"/>
      <c r="G204" s="194"/>
      <c r="H204" s="194"/>
      <c r="I204" s="194"/>
      <c r="J204" s="200"/>
      <c r="K204" s="193"/>
      <c r="L204" s="201"/>
      <c r="M204" s="202"/>
      <c r="N204" s="193"/>
      <c r="O204" s="194"/>
      <c r="P204" s="194"/>
      <c r="Q204" s="194"/>
      <c r="R204" s="194"/>
      <c r="S204" s="194"/>
      <c r="T204" s="194"/>
      <c r="U204" s="194"/>
      <c r="V204" s="194"/>
      <c r="W204" s="194"/>
    </row>
    <row r="205">
      <c r="A205" s="205"/>
      <c r="B205" s="205"/>
      <c r="C205" s="194"/>
      <c r="D205" s="194"/>
      <c r="E205" s="194"/>
      <c r="F205" s="194"/>
      <c r="G205" s="194"/>
      <c r="H205" s="194"/>
      <c r="I205" s="194"/>
      <c r="J205" s="200"/>
      <c r="K205" s="193"/>
      <c r="L205" s="201"/>
      <c r="M205" s="202"/>
      <c r="N205" s="193"/>
      <c r="O205" s="194"/>
      <c r="P205" s="194"/>
      <c r="Q205" s="194"/>
      <c r="R205" s="194"/>
      <c r="S205" s="194"/>
      <c r="T205" s="194"/>
      <c r="U205" s="194"/>
      <c r="V205" s="194"/>
      <c r="W205" s="194"/>
    </row>
  </sheetData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B2" xSplit="1" ySplit="1"/>
    </sheetView>
  </sheetViews>
  <sheetFormatPr defaultRowHeight="0"/>
  <cols>
    <col collapsed="false" customWidth="true" hidden="false" max="4" min="4" style="0" width="12.901408450704226"/>
    <col collapsed="false" customWidth="true" hidden="false" max="6" min="6" style="0" width="12.901408450704226"/>
    <col collapsed="false" customWidth="true" hidden="false" max="8" min="8" style="0" width="12.901408450704226"/>
    <col collapsed="false" customWidth="true" hidden="false" max="10" min="10" style="0" width="12.901408450704226"/>
    <col collapsed="false" customWidth="true" hidden="false" max="12" min="12" style="0" width="18.535211267605632"/>
    <col collapsed="false" customWidth="true" hidden="false" max="2" min="2" style="0" width="12.901408450704226"/>
    <col collapsed="false" customWidth="true" hidden="false" max="3" min="3" style="0" width="12.901408450704226"/>
    <col collapsed="false" customWidth="true" hidden="false" max="5" min="5" style="0" width="12.901408450704226"/>
    <col collapsed="false" customWidth="true" hidden="false" max="7" min="7" style="0" width="12.901408450704226"/>
    <col collapsed="false" customWidth="true" hidden="false" max="9" min="9" style="0" width="12.901408450704226"/>
    <col collapsed="false" customWidth="true" hidden="false" max="11" min="11" style="0" width="28.676056338028168"/>
    <col collapsed="false" customWidth="true" hidden="false" max="13" min="13" style="0" width="47.83098591549296"/>
    <col collapsed="false" customWidth="true" hidden="false" max="1" min="1" style="0" width="13.947413589566256"/>
  </cols>
  <sheetData>
    <row customHeight="true" ht="30.952380952380953" r="1">
      <c r="A1" s="206" t="s">
        <v>357</v>
      </c>
      <c r="B1" s="206" t="s">
        <v>358</v>
      </c>
      <c r="C1" s="206" t="s">
        <v>359</v>
      </c>
      <c r="D1" s="206" t="s">
        <v>360</v>
      </c>
      <c r="E1" s="206" t="s">
        <v>361</v>
      </c>
      <c r="F1" s="206" t="s">
        <v>362</v>
      </c>
      <c r="G1" s="206" t="s">
        <v>363</v>
      </c>
      <c r="H1" s="206" t="s">
        <v>364</v>
      </c>
      <c r="I1" s="206" t="s">
        <v>365</v>
      </c>
      <c r="J1" s="206" t="s">
        <v>366</v>
      </c>
      <c r="K1" s="206" t="s">
        <v>367</v>
      </c>
      <c r="L1" s="206" t="s">
        <v>368</v>
      </c>
      <c r="M1" s="206" t="s">
        <v>369</v>
      </c>
    </row>
    <row r="2">
      <c r="A2" s="207">
        <f>'AI 权益'!$A$3</f>
      </c>
      <c r="B2" s="208" t="s">
        <v>370</v>
      </c>
      <c r="C2" s="209">
        <v>20</v>
      </c>
      <c r="D2" s="209">
        <f>'AI 权益'!$G$3</f>
      </c>
      <c r="E2" s="209">
        <f>'AI 权益'!$N$3</f>
      </c>
      <c r="F2" s="209" t="s">
        <v>371</v>
      </c>
      <c r="G2" s="210">
        <f>'AI 权益'!$H$3</f>
      </c>
      <c r="H2" s="211" t="s">
        <v>372</v>
      </c>
      <c r="I2" s="211" t="s">
        <v>373</v>
      </c>
      <c r="J2" s="211" t="s">
        <v>374</v>
      </c>
      <c r="K2" s="212" t="s">
        <v>375</v>
      </c>
      <c r="L2" s="212" t="s">
        <v>376</v>
      </c>
      <c r="M2" s="212" t="s">
        <v>377</v>
      </c>
    </row>
    <row customHeight="true" ht="38.69047619047619" r="3">
      <c r="A3" s="213">
        <f>'AI 权益'!$A$4</f>
      </c>
      <c r="B3" s="208" t="s">
        <v>370</v>
      </c>
      <c r="C3" s="208">
        <v>20</v>
      </c>
      <c r="D3" s="209">
        <f>'AI 权益'!$G$4</f>
      </c>
      <c r="E3" s="209">
        <f>'AI 权益'!$N$4</f>
      </c>
      <c r="F3" s="209" t="s">
        <v>371</v>
      </c>
      <c r="G3" s="210">
        <f>'AI 权益'!$H$4</f>
      </c>
      <c r="H3" s="211" t="s">
        <v>372</v>
      </c>
      <c r="I3" s="211" t="s">
        <v>373</v>
      </c>
      <c r="J3" s="211" t="s">
        <v>374</v>
      </c>
      <c r="K3" s="212" t="s">
        <v>375</v>
      </c>
      <c r="L3" s="212" t="s">
        <v>376</v>
      </c>
      <c r="M3" s="212" t="s">
        <v>377</v>
      </c>
    </row>
    <row customHeight="true" ht="38.69047619047619" r="4">
      <c r="A4" s="213">
        <f>'AI 权益'!$A$5</f>
      </c>
      <c r="B4" s="208" t="s">
        <v>370</v>
      </c>
      <c r="C4" s="208">
        <v>20</v>
      </c>
      <c r="D4" s="209">
        <f>'AI 权益'!$G$5</f>
      </c>
      <c r="E4" s="209">
        <f>'AI 权益'!$N$5</f>
      </c>
      <c r="F4" s="209" t="s">
        <v>371</v>
      </c>
      <c r="G4" s="210">
        <f>'AI 权益'!$H$5</f>
      </c>
      <c r="H4" s="211" t="s">
        <v>372</v>
      </c>
      <c r="I4" s="211" t="s">
        <v>373</v>
      </c>
      <c r="J4" s="211" t="s">
        <v>374</v>
      </c>
      <c r="K4" s="212" t="s">
        <v>375</v>
      </c>
      <c r="L4" s="212" t="s">
        <v>376</v>
      </c>
      <c r="M4" s="212" t="s">
        <v>377</v>
      </c>
    </row>
    <row customHeight="true" ht="38.69047619047619" r="5">
      <c r="A5" s="213">
        <f>'AI 权益'!$A$6</f>
      </c>
      <c r="B5" s="208" t="s">
        <v>370</v>
      </c>
      <c r="C5" s="208">
        <v>20</v>
      </c>
      <c r="D5" s="209">
        <f>'AI 权益'!$G$6</f>
      </c>
      <c r="E5" s="209">
        <f>'AI 权益'!$N$6</f>
      </c>
      <c r="F5" s="209" t="s">
        <v>371</v>
      </c>
      <c r="G5" s="210">
        <f>'AI 权益'!$H$6</f>
      </c>
      <c r="H5" s="211" t="s">
        <v>372</v>
      </c>
      <c r="I5" s="211" t="s">
        <v>373</v>
      </c>
      <c r="J5" s="211" t="s">
        <v>374</v>
      </c>
      <c r="K5" s="212" t="s">
        <v>375</v>
      </c>
      <c r="L5" s="212" t="s">
        <v>376</v>
      </c>
      <c r="M5" s="212" t="s">
        <v>377</v>
      </c>
    </row>
    <row r="6">
      <c r="A6" s="214">
        <f>'AI 权益'!$A$7</f>
      </c>
      <c r="B6" s="208" t="s">
        <v>370</v>
      </c>
      <c r="C6" s="208">
        <v>20</v>
      </c>
      <c r="D6" s="215">
        <f>'AI 权益'!$G$7</f>
      </c>
      <c r="E6" s="215">
        <f>'AI 权益'!$N$7</f>
      </c>
      <c r="F6" s="215" t="s">
        <v>371</v>
      </c>
      <c r="G6" s="210">
        <f>'AI 权益'!$H$7</f>
      </c>
      <c r="H6" s="211" t="s">
        <v>372</v>
      </c>
      <c r="I6" s="211" t="s">
        <v>373</v>
      </c>
      <c r="J6" s="211" t="s">
        <v>374</v>
      </c>
      <c r="K6" s="216" t="s">
        <v>375</v>
      </c>
      <c r="L6" s="216" t="s">
        <v>376</v>
      </c>
      <c r="M6" s="216" t="s">
        <v>377</v>
      </c>
    </row>
    <row customHeight="true" ht="27.380952380952383" r="7">
      <c r="A7" s="214">
        <f>'AI 权益'!$A$8</f>
      </c>
      <c r="B7" s="208" t="s">
        <v>370</v>
      </c>
      <c r="C7" s="208">
        <v>20</v>
      </c>
      <c r="D7" s="215">
        <f>'AI 权益'!$G$8</f>
      </c>
      <c r="E7" s="215">
        <f>'AI 权益'!$N$8</f>
      </c>
      <c r="F7" s="215" t="s">
        <v>371</v>
      </c>
      <c r="G7" s="217">
        <f>'AI 权益'!$H$8</f>
      </c>
      <c r="H7" s="211" t="s">
        <v>372</v>
      </c>
      <c r="I7" s="211" t="s">
        <v>373</v>
      </c>
      <c r="J7" s="211" t="s">
        <v>374</v>
      </c>
      <c r="K7" s="212" t="s">
        <v>375</v>
      </c>
      <c r="L7" s="212" t="s">
        <v>376</v>
      </c>
      <c r="M7" s="212" t="s">
        <v>377</v>
      </c>
    </row>
    <row customHeight="true" ht="27.380952380952383" r="8">
      <c r="A8" s="214">
        <f>'AI 权益'!$A$9</f>
      </c>
      <c r="B8" s="208" t="s">
        <v>370</v>
      </c>
      <c r="C8" s="208">
        <v>20</v>
      </c>
      <c r="D8" s="209">
        <f>'AI 权益'!$G$9</f>
      </c>
      <c r="E8" s="209">
        <f>'AI 权益'!$N$9</f>
      </c>
      <c r="F8" s="209" t="s">
        <v>371</v>
      </c>
      <c r="G8" s="217">
        <f>'AI 权益'!$H$9</f>
      </c>
      <c r="H8" s="211" t="s">
        <v>372</v>
      </c>
      <c r="I8" s="211" t="s">
        <v>373</v>
      </c>
      <c r="J8" s="211" t="s">
        <v>374</v>
      </c>
      <c r="K8" s="212" t="s">
        <v>375</v>
      </c>
      <c r="L8" s="212" t="s">
        <v>376</v>
      </c>
      <c r="M8" s="212" t="s">
        <v>377</v>
      </c>
    </row>
    <row customHeight="true" ht="27.380952380952383" r="9">
      <c r="A9" s="214">
        <f>'AI 权益'!$A$10</f>
      </c>
      <c r="B9" s="208" t="s">
        <v>370</v>
      </c>
      <c r="C9" s="208">
        <v>20</v>
      </c>
      <c r="D9" s="209">
        <f>'AI 权益'!$G$10</f>
      </c>
      <c r="E9" s="209">
        <f>'AI 权益'!$N$10</f>
      </c>
      <c r="F9" s="209" t="s">
        <v>371</v>
      </c>
      <c r="G9" s="217">
        <f>'AI 权益'!$H$10</f>
      </c>
      <c r="H9" s="211" t="s">
        <v>372</v>
      </c>
      <c r="I9" s="211" t="s">
        <v>373</v>
      </c>
      <c r="J9" s="211" t="s">
        <v>374</v>
      </c>
      <c r="K9" s="212" t="s">
        <v>375</v>
      </c>
      <c r="L9" s="212" t="s">
        <v>376</v>
      </c>
      <c r="M9" s="212" t="s">
        <v>377</v>
      </c>
    </row>
    <row r="10">
      <c r="A10" s="218">
        <f>'AI 权益'!$A$11</f>
      </c>
      <c r="B10" s="208" t="s">
        <v>378</v>
      </c>
      <c r="C10" s="208" t="s">
        <v>379</v>
      </c>
      <c r="D10" s="208">
        <f>'AI 权益'!$G$11</f>
      </c>
      <c r="E10" s="210">
        <f>'AI 权益'!$N$11</f>
      </c>
      <c r="F10" s="210" t="s">
        <v>380</v>
      </c>
      <c r="G10" s="217">
        <f>'AI 权益'!$H$11</f>
      </c>
      <c r="H10" s="211" t="s">
        <v>381</v>
      </c>
      <c r="I10" s="211" t="s">
        <v>382</v>
      </c>
      <c r="J10" s="211" t="s">
        <v>383</v>
      </c>
      <c r="K10" s="212" t="s">
        <v>384</v>
      </c>
      <c r="L10" s="212" t="s">
        <v>385</v>
      </c>
      <c r="M10" s="212" t="s">
        <v>386</v>
      </c>
    </row>
    <row customHeight="true" ht="27.380952380952383" r="11">
      <c r="A11" s="218">
        <f>'AI 权益'!$A$14</f>
      </c>
      <c r="B11" s="208" t="s">
        <v>378</v>
      </c>
      <c r="C11" s="208" t="s">
        <v>379</v>
      </c>
      <c r="D11" s="208">
        <f>'AI 权益'!$G$14</f>
      </c>
      <c r="E11" s="210">
        <f>'AI 权益'!$N$14</f>
      </c>
      <c r="F11" s="210" t="s">
        <v>380</v>
      </c>
      <c r="G11" s="217">
        <f>'AI 权益'!$H$14</f>
      </c>
      <c r="H11" s="211" t="s">
        <v>381</v>
      </c>
      <c r="I11" s="211" t="s">
        <v>382</v>
      </c>
      <c r="J11" s="211" t="s">
        <v>383</v>
      </c>
      <c r="K11" s="212" t="s">
        <v>384</v>
      </c>
      <c r="L11" s="212" t="s">
        <v>385</v>
      </c>
      <c r="M11" s="212" t="s">
        <v>386</v>
      </c>
    </row>
    <row r="12">
      <c r="A12" s="219">
        <f>'AI 权益'!$A$17</f>
      </c>
      <c r="B12" s="219" t="s">
        <v>378</v>
      </c>
      <c r="C12" s="219" t="s">
        <v>379</v>
      </c>
      <c r="D12" s="219">
        <f>'AI 权益'!$G$17</f>
      </c>
      <c r="E12" s="219">
        <f>'AI 权益'!$N$17</f>
      </c>
      <c r="F12" s="219" t="s">
        <v>380</v>
      </c>
      <c r="G12" s="219">
        <f>'AI 权益'!$H$17</f>
      </c>
      <c r="H12" s="219" t="s">
        <v>381</v>
      </c>
      <c r="I12" s="219" t="s">
        <v>382</v>
      </c>
      <c r="J12" s="219" t="s">
        <v>383</v>
      </c>
      <c r="K12" s="219" t="s">
        <v>384</v>
      </c>
      <c r="L12" s="219" t="s">
        <v>385</v>
      </c>
      <c r="M12" s="219" t="s">
        <v>386</v>
      </c>
    </row>
  </sheetData>
  <picture r:id="rId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2" xSplit="3" ySplit="1"/>
    </sheetView>
  </sheetViews>
  <sheetFormatPr defaultRowHeight="0"/>
  <cols>
    <col collapsed="false" customWidth="true" hidden="false" max="8" min="8" style="0" width="19.661971830985916"/>
    <col collapsed="false" customWidth="true" hidden="false" max="10" min="10" style="0" width="19.661971830985916"/>
    <col collapsed="false" customWidth="true" hidden="false" max="12" min="12" style="0" width="37.690140845070424"/>
    <col collapsed="false" customWidth="true" hidden="false" max="2" min="2" style="0" width="12.901408450704226"/>
    <col collapsed="false" customWidth="true" hidden="false" max="4" min="4" style="0" width="47.83098591549296"/>
    <col collapsed="false" customWidth="true" hidden="false" max="6" min="6" style="0" width="46.70422535211268"/>
    <col collapsed="false" customWidth="true" hidden="false" max="7" min="7" style="0" width="19.661971830985916"/>
    <col collapsed="false" customWidth="true" hidden="false" max="9" min="9" style="0" width="19.661971830985916"/>
    <col collapsed="false" customWidth="true" hidden="false" max="11" min="11" style="0" width="12.901408450704226"/>
    <col collapsed="false" customWidth="true" hidden="false" max="1" min="1" style="0" width="9.52112676056338"/>
    <col collapsed="false" customWidth="true" hidden="false" max="3" min="3" style="0" width="12.901408450704226"/>
    <col collapsed="false" customWidth="true" hidden="false" max="5" min="5" style="0" width="33.183098591549296"/>
  </cols>
  <sheetData>
    <row customHeight="true" ht="30.952380952380953" r="1">
      <c r="A1" s="220" t="s">
        <v>387</v>
      </c>
      <c r="B1" s="220" t="s">
        <v>388</v>
      </c>
      <c r="C1" s="220" t="s">
        <v>389</v>
      </c>
      <c r="D1" s="220" t="s">
        <v>390</v>
      </c>
      <c r="E1" s="220" t="s">
        <v>391</v>
      </c>
      <c r="F1" s="220" t="s">
        <v>392</v>
      </c>
      <c r="G1" s="220" t="s">
        <v>393</v>
      </c>
      <c r="H1" s="220" t="s">
        <v>394</v>
      </c>
      <c r="I1" s="220" t="s">
        <v>395</v>
      </c>
      <c r="J1" s="220" t="s">
        <v>396</v>
      </c>
      <c r="K1" s="220" t="s">
        <v>397</v>
      </c>
      <c r="L1" s="220" t="s">
        <v>398</v>
      </c>
    </row>
    <row r="2">
      <c r="A2" s="221" t="s">
        <v>399</v>
      </c>
      <c r="B2" s="221" t="s">
        <v>400</v>
      </c>
      <c r="C2" s="221" t="s">
        <v>401</v>
      </c>
      <c r="D2" s="222" t="s">
        <v>402</v>
      </c>
      <c r="E2" s="222" t="s">
        <v>402</v>
      </c>
      <c r="F2" s="222" t="s">
        <v>402</v>
      </c>
      <c r="G2" s="222" t="s">
        <v>402</v>
      </c>
      <c r="H2" s="222" t="s">
        <v>402</v>
      </c>
      <c r="I2" s="222" t="s">
        <v>402</v>
      </c>
      <c r="J2" s="222" t="s">
        <v>402</v>
      </c>
      <c r="K2" s="222" t="s">
        <v>402</v>
      </c>
      <c r="L2" s="222" t="s">
        <v>403</v>
      </c>
    </row>
    <row r="3">
      <c r="A3" s="223" t="s">
        <v>404</v>
      </c>
      <c r="B3" s="223" t="s">
        <v>405</v>
      </c>
      <c r="C3" s="223" t="s">
        <v>406</v>
      </c>
      <c r="D3" s="224" t="s">
        <v>407</v>
      </c>
      <c r="E3" s="224" t="s">
        <v>408</v>
      </c>
      <c r="F3" s="224" t="s">
        <v>409</v>
      </c>
      <c r="G3" s="224" t="s">
        <v>410</v>
      </c>
      <c r="H3" s="225">
        <v>5000</v>
      </c>
      <c r="I3" s="224" t="s">
        <v>411</v>
      </c>
      <c r="J3" s="224">
        <f>TEXT(H3*0.7,"#,##0")&amp;"–"&amp;TEXT(H3*0.75,"#,##0")&amp;" 元/席/年"</f>
      </c>
      <c r="K3" s="224" t="s">
        <v>412</v>
      </c>
      <c r="L3" s="224" t="s">
        <v>413</v>
      </c>
    </row>
    <row r="4">
      <c r="A4" s="223" t="s">
        <v>404</v>
      </c>
      <c r="B4" s="223" t="s">
        <v>405</v>
      </c>
      <c r="C4" s="223" t="s">
        <v>414</v>
      </c>
      <c r="D4" s="224" t="s">
        <v>415</v>
      </c>
      <c r="E4" s="224" t="s">
        <v>416</v>
      </c>
      <c r="F4" s="224" t="s">
        <v>417</v>
      </c>
      <c r="G4" s="224" t="s">
        <v>418</v>
      </c>
      <c r="H4" s="225">
        <v>1500</v>
      </c>
      <c r="I4" s="224" t="s">
        <v>419</v>
      </c>
      <c r="J4" s="224">
        <f>TEXT(H4*0.6,"#,##0")&amp;"–"&amp;TEXT(H4*0.65,"#,##0")&amp;" 元/席/年"</f>
      </c>
      <c r="K4" s="224" t="s">
        <v>412</v>
      </c>
      <c r="L4" s="224" t="s">
        <v>420</v>
      </c>
    </row>
    <row r="5">
      <c r="A5" s="223" t="s">
        <v>404</v>
      </c>
      <c r="B5" s="223" t="s">
        <v>421</v>
      </c>
      <c r="C5" s="223" t="s">
        <v>406</v>
      </c>
      <c r="D5" s="224" t="s">
        <v>407</v>
      </c>
      <c r="E5" s="224" t="s">
        <v>408</v>
      </c>
      <c r="F5" s="224" t="s">
        <v>422</v>
      </c>
      <c r="G5" s="224" t="s">
        <v>423</v>
      </c>
      <c r="H5" s="225">
        <v>4000</v>
      </c>
      <c r="I5" s="224" t="s">
        <v>411</v>
      </c>
      <c r="J5" s="224">
        <f>TEXT(H5*0.7,"#,##0")&amp;"–"&amp;TEXT(H5*0.75,"#,##0")&amp;" 元/席/年"</f>
      </c>
      <c r="K5" s="224" t="s">
        <v>424</v>
      </c>
      <c r="L5" s="224" t="s">
        <v>425</v>
      </c>
    </row>
    <row r="6">
      <c r="A6" s="223" t="s">
        <v>404</v>
      </c>
      <c r="B6" s="223" t="s">
        <v>421</v>
      </c>
      <c r="C6" s="223" t="s">
        <v>414</v>
      </c>
      <c r="D6" s="224" t="s">
        <v>415</v>
      </c>
      <c r="E6" s="224" t="s">
        <v>416</v>
      </c>
      <c r="F6" s="224" t="s">
        <v>426</v>
      </c>
      <c r="G6" s="224" t="s">
        <v>427</v>
      </c>
      <c r="H6" s="225">
        <v>1200</v>
      </c>
      <c r="I6" s="224" t="s">
        <v>419</v>
      </c>
      <c r="J6" s="224">
        <f>TEXT(H6*0.6,"#,##0")&amp;"–"&amp;TEXT(H6*0.65,"#,##0")&amp;" 元/席/年"</f>
      </c>
      <c r="K6" s="224" t="s">
        <v>424</v>
      </c>
      <c r="L6" s="224" t="s">
        <v>428</v>
      </c>
    </row>
    <row r="7">
      <c r="A7" s="226" t="s">
        <v>429</v>
      </c>
      <c r="B7" s="226" t="s">
        <v>430</v>
      </c>
      <c r="C7" s="226" t="s">
        <v>431</v>
      </c>
      <c r="D7" s="227" t="s">
        <v>402</v>
      </c>
      <c r="E7" s="227" t="s">
        <v>402</v>
      </c>
      <c r="F7" s="227" t="s">
        <v>402</v>
      </c>
      <c r="G7" s="227" t="s">
        <v>432</v>
      </c>
      <c r="H7" s="227" t="s">
        <v>402</v>
      </c>
      <c r="I7" s="227" t="s">
        <v>402</v>
      </c>
      <c r="J7" s="227" t="s">
        <v>402</v>
      </c>
      <c r="K7" s="227" t="s">
        <v>402</v>
      </c>
      <c r="L7" s="227" t="s">
        <v>433</v>
      </c>
    </row>
    <row r="8">
      <c r="A8" s="226" t="s">
        <v>429</v>
      </c>
      <c r="B8" s="226" t="s">
        <v>434</v>
      </c>
      <c r="C8" s="226" t="s">
        <v>435</v>
      </c>
      <c r="D8" s="227" t="s">
        <v>436</v>
      </c>
      <c r="E8" s="227" t="s">
        <v>437</v>
      </c>
      <c r="F8" s="227" t="s">
        <v>438</v>
      </c>
      <c r="G8" s="227" t="s">
        <v>439</v>
      </c>
      <c r="H8" s="227" t="s">
        <v>440</v>
      </c>
      <c r="I8" s="227" t="s">
        <v>441</v>
      </c>
      <c r="J8" s="227" t="s">
        <v>442</v>
      </c>
      <c r="K8" s="227" t="s">
        <v>443</v>
      </c>
      <c r="L8" s="227" t="s">
        <v>444</v>
      </c>
    </row>
    <row r="9">
      <c r="A9" s="226" t="s">
        <v>402</v>
      </c>
      <c r="B9" s="226" t="s">
        <v>402</v>
      </c>
      <c r="C9" s="226" t="s">
        <v>402</v>
      </c>
      <c r="D9" s="227" t="s">
        <v>402</v>
      </c>
      <c r="E9" s="227" t="s">
        <v>402</v>
      </c>
      <c r="F9" s="227" t="s">
        <v>402</v>
      </c>
      <c r="G9" s="227" t="s">
        <v>402</v>
      </c>
      <c r="H9" s="227" t="s">
        <v>402</v>
      </c>
      <c r="I9" s="227" t="s">
        <v>402</v>
      </c>
      <c r="J9" s="227" t="s">
        <v>402</v>
      </c>
      <c r="K9" s="227" t="s">
        <v>402</v>
      </c>
      <c r="L9" s="227" t="s">
        <v>402</v>
      </c>
    </row>
    <row r="10">
      <c r="A10" s="226" t="s">
        <v>429</v>
      </c>
      <c r="B10" s="226" t="s">
        <v>445</v>
      </c>
      <c r="C10" s="226" t="s">
        <v>446</v>
      </c>
      <c r="D10" s="227" t="s">
        <v>402</v>
      </c>
      <c r="E10" s="227" t="s">
        <v>402</v>
      </c>
      <c r="F10" s="227" t="s">
        <v>402</v>
      </c>
      <c r="G10" s="227" t="s">
        <v>447</v>
      </c>
      <c r="H10" s="227" t="s">
        <v>402</v>
      </c>
      <c r="I10" s="227" t="s">
        <v>402</v>
      </c>
      <c r="J10" s="227" t="s">
        <v>402</v>
      </c>
      <c r="K10" s="227" t="s">
        <v>402</v>
      </c>
      <c r="L10" s="227" t="s">
        <v>448</v>
      </c>
    </row>
    <row r="11">
      <c r="A11" s="226" t="s">
        <v>429</v>
      </c>
      <c r="B11" s="226" t="s">
        <v>421</v>
      </c>
      <c r="C11" s="226" t="s">
        <v>449</v>
      </c>
      <c r="D11" s="227" t="s">
        <v>402</v>
      </c>
      <c r="E11" s="227" t="s">
        <v>402</v>
      </c>
      <c r="F11" s="227" t="s">
        <v>402</v>
      </c>
      <c r="G11" s="227" t="s">
        <v>450</v>
      </c>
      <c r="H11" s="228">
        <v>2400</v>
      </c>
      <c r="I11" s="227" t="s">
        <v>402</v>
      </c>
      <c r="J11" s="227" t="s">
        <v>402</v>
      </c>
      <c r="K11" s="227" t="s">
        <v>402</v>
      </c>
      <c r="L11" s="227" t="s">
        <v>451</v>
      </c>
    </row>
  </sheetData>
  <picture r:id="rId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B2" xSplit="1" ySplit="1"/>
    </sheetView>
  </sheetViews>
  <sheetFormatPr defaultRowHeight="0"/>
  <cols>
    <col collapsed="false" customWidth="true" hidden="false" max="2" min="2" style="0" width="16.281690140845072"/>
    <col collapsed="false" customWidth="true" hidden="false" max="4" min="4" style="0" width="16.281690140845072"/>
    <col collapsed="false" customWidth="true" hidden="false" max="6" min="6" style="0" width="16.281690140845072"/>
    <col collapsed="false" customWidth="true" hidden="false" max="8" min="8" style="0" width="46.70422535211268"/>
    <col collapsed="false" customWidth="true" hidden="false" max="1" min="1" style="0" width="19.661971830985916"/>
    <col collapsed="false" customWidth="true" hidden="false" max="3" min="3" style="0" width="16.281690140845072"/>
    <col collapsed="false" customWidth="true" hidden="false" max="5" min="5" style="0" width="16.281690140845072"/>
    <col collapsed="false" customWidth="true" hidden="false" max="7" min="7" style="0" width="36.563380281690144"/>
  </cols>
  <sheetData>
    <row customHeight="true" ht="30.952380952380953" r="1">
      <c r="A1" s="229" t="s">
        <v>452</v>
      </c>
      <c r="B1" s="229" t="s">
        <v>453</v>
      </c>
      <c r="C1" s="229" t="s">
        <v>454</v>
      </c>
      <c r="D1" s="229" t="s">
        <v>455</v>
      </c>
      <c r="E1" s="229" t="s">
        <v>456</v>
      </c>
      <c r="F1" s="229" t="s">
        <v>457</v>
      </c>
      <c r="G1" s="229" t="s">
        <v>458</v>
      </c>
      <c r="H1" s="229" t="s">
        <v>459</v>
      </c>
    </row>
    <row r="2">
      <c r="A2" s="230" t="s">
        <v>460</v>
      </c>
      <c r="B2" s="231" t="s">
        <v>461</v>
      </c>
      <c r="C2" s="231" t="s">
        <v>461</v>
      </c>
      <c r="D2" s="231" t="s">
        <v>461</v>
      </c>
      <c r="E2" s="231" t="s">
        <v>461</v>
      </c>
      <c r="F2" s="231" t="s">
        <v>461</v>
      </c>
      <c r="G2" s="232" t="s">
        <v>462</v>
      </c>
      <c r="H2" s="232" t="s">
        <v>463</v>
      </c>
    </row>
    <row r="3">
      <c r="A3" s="233" t="s">
        <v>464</v>
      </c>
      <c r="B3" s="234">
        <v>0.0233</v>
      </c>
      <c r="C3" s="234">
        <f>'定价推演 （最终）'!$F$3/'定价推演 （最终）'!$D$3</f>
      </c>
      <c r="D3" s="234">
        <f>1/$C$3</f>
      </c>
      <c r="E3" s="235">
        <f>$B$3*$C$3</f>
      </c>
      <c r="F3" s="235">
        <f>1-$E$3</f>
      </c>
      <c r="G3" s="236" t="s">
        <v>465</v>
      </c>
      <c r="H3" s="236" t="s">
        <v>466</v>
      </c>
    </row>
    <row r="4">
      <c r="A4" s="233" t="s">
        <v>467</v>
      </c>
      <c r="B4" s="234">
        <v>0.0233</v>
      </c>
      <c r="C4" s="234">
        <f>'定价推演 （最终）'!$F$4/'定价推演 （最终）'!$D$4</f>
      </c>
      <c r="D4" s="234">
        <f>1/$C$4</f>
      </c>
      <c r="E4" s="235">
        <f>$B$4*$C$4</f>
      </c>
      <c r="F4" s="235">
        <f>1-$E$4</f>
      </c>
      <c r="G4" s="236" t="s">
        <v>465</v>
      </c>
      <c r="H4" s="236" t="s">
        <v>466</v>
      </c>
    </row>
    <row r="5">
      <c r="A5" s="233" t="s">
        <v>468</v>
      </c>
      <c r="B5" s="234">
        <v>0.0233</v>
      </c>
      <c r="C5" s="234">
        <f>'定价推演 （最终）'!$F$5/'定价推演 （最终）'!$D$5</f>
      </c>
      <c r="D5" s="234">
        <f>1/$C$5</f>
      </c>
      <c r="E5" s="235">
        <f>$B$5*$C$5</f>
      </c>
      <c r="F5" s="235">
        <f>1-$E$5</f>
      </c>
      <c r="G5" s="236" t="s">
        <v>465</v>
      </c>
      <c r="H5" s="236" t="s">
        <v>466</v>
      </c>
    </row>
    <row r="6">
      <c r="A6" s="233" t="s">
        <v>469</v>
      </c>
      <c r="B6" s="234">
        <v>0.0233</v>
      </c>
      <c r="C6" s="234">
        <f>'定价推演 （最终）'!$F$6/'定价推演 （最终）'!$D$6</f>
      </c>
      <c r="D6" s="234">
        <f>1/$C$6</f>
      </c>
      <c r="E6" s="235">
        <f>$B$6*$C$6</f>
      </c>
      <c r="F6" s="235">
        <f>1-$E$6</f>
      </c>
      <c r="G6" s="236" t="s">
        <v>465</v>
      </c>
      <c r="H6" s="236" t="s">
        <v>466</v>
      </c>
    </row>
    <row r="7">
      <c r="A7" s="237" t="s">
        <v>470</v>
      </c>
      <c r="B7" s="238">
        <v>0.0233</v>
      </c>
      <c r="C7" s="238">
        <f>'定价推演 （最终）'!$F$7/'定价推演 （最终）'!$D$7</f>
      </c>
      <c r="D7" s="238">
        <f>1/$C$7</f>
      </c>
      <c r="E7" s="239">
        <f>$B$7*$C$7</f>
      </c>
      <c r="F7" s="239">
        <f>1-$E$7</f>
      </c>
      <c r="G7" s="240" t="s">
        <v>465</v>
      </c>
      <c r="H7" s="240" t="s">
        <v>466</v>
      </c>
    </row>
    <row r="8">
      <c r="A8" s="237" t="s">
        <v>471</v>
      </c>
      <c r="B8" s="238">
        <v>0.0233</v>
      </c>
      <c r="C8" s="238">
        <f>'定价推演 （最终）'!$F$8/'定价推演 （最终）'!$D$8</f>
      </c>
      <c r="D8" s="238">
        <f>1/$C$8</f>
      </c>
      <c r="E8" s="239">
        <f>$B$8*$C$8</f>
      </c>
      <c r="F8" s="239">
        <f>1-$E$8</f>
      </c>
      <c r="G8" s="240" t="s">
        <v>465</v>
      </c>
      <c r="H8" s="240" t="s">
        <v>466</v>
      </c>
    </row>
    <row r="9">
      <c r="A9" s="241" t="s">
        <v>472</v>
      </c>
      <c r="B9" s="242">
        <v>0.0233</v>
      </c>
      <c r="C9" s="242">
        <f>'定价推演 （最终）'!$F$9/'定价推演 （最终）'!$D$9</f>
      </c>
      <c r="D9" s="242">
        <f>1/$C$9</f>
      </c>
      <c r="E9" s="243">
        <f>$B$9*$C$9</f>
      </c>
      <c r="F9" s="243">
        <f>1-$E$9</f>
      </c>
      <c r="G9" s="244" t="s">
        <v>465</v>
      </c>
      <c r="H9" s="244" t="s">
        <v>466</v>
      </c>
    </row>
    <row r="10">
      <c r="A10" s="237" t="s">
        <v>473</v>
      </c>
      <c r="B10" s="238">
        <v>0.0233</v>
      </c>
      <c r="C10" s="238">
        <f>'定价推演 （最终）'!$F$10/'定价推演 （最终）'!$D$10</f>
      </c>
      <c r="D10" s="238">
        <f>1/$C$10</f>
      </c>
      <c r="E10" s="239">
        <f>$B$10*$C$10</f>
      </c>
      <c r="F10" s="239">
        <f>1-$E$10</f>
      </c>
      <c r="G10" s="240" t="s">
        <v>465</v>
      </c>
      <c r="H10" s="240" t="s">
        <v>466</v>
      </c>
    </row>
    <row r="11">
      <c r="A11" s="241" t="s">
        <v>474</v>
      </c>
      <c r="B11" s="242">
        <v>0.0233</v>
      </c>
      <c r="C11" s="242">
        <f>'定价推演 （最终）'!$F$11/'定价推演 （最终）'!$D$11</f>
      </c>
      <c r="D11" s="242">
        <f>1/$C$11</f>
      </c>
      <c r="E11" s="243">
        <f>$B$11*$C$11</f>
      </c>
      <c r="F11" s="243">
        <f>1-$E$11</f>
      </c>
      <c r="G11" s="244" t="s">
        <v>465</v>
      </c>
      <c r="H11" s="244" t="s">
        <v>466</v>
      </c>
    </row>
    <row r="12">
      <c r="A12" s="245" t="s">
        <v>475</v>
      </c>
      <c r="B12" s="246">
        <v>0.0233</v>
      </c>
      <c r="C12" s="246">
        <f>'定价推演 （最终）'!$F$12/'定价推演 （最终）'!$D$12</f>
      </c>
      <c r="D12" s="246">
        <f>1/$C$12</f>
      </c>
      <c r="E12" s="247">
        <f>$B$12*$C$12</f>
      </c>
      <c r="F12" s="247">
        <f>1-$E$12</f>
      </c>
      <c r="G12" s="245" t="s">
        <v>465</v>
      </c>
      <c r="H12" s="245" t="s">
        <v>466</v>
      </c>
    </row>
    <row r="13">
      <c r="A13" s="245" t="s">
        <v>476</v>
      </c>
      <c r="B13" s="246">
        <v>0.0233</v>
      </c>
      <c r="C13" s="246">
        <f>'定价推演 （最终）'!$F$13/'定价推演 （最终）'!$D$13</f>
      </c>
      <c r="D13" s="246">
        <f>1/$C$13</f>
      </c>
      <c r="E13" s="247">
        <f>$B$13*$C$13</f>
      </c>
      <c r="F13" s="247">
        <f>1-$E$13</f>
      </c>
      <c r="G13" s="245" t="s">
        <v>465</v>
      </c>
      <c r="H13" s="245" t="s">
        <v>466</v>
      </c>
    </row>
    <row r="14">
      <c r="A14" s="245" t="s">
        <v>477</v>
      </c>
      <c r="B14" s="246">
        <v>0.0233</v>
      </c>
      <c r="C14" s="246">
        <f>'定价推演 （最终）'!$F$14/'定价推演 （最终）'!$D$14</f>
      </c>
      <c r="D14" s="246">
        <f>1/$C$14</f>
      </c>
      <c r="E14" s="247">
        <f>$B$14*$C$14</f>
      </c>
      <c r="F14" s="247">
        <f>1-$E$14</f>
      </c>
      <c r="G14" s="245" t="s">
        <v>465</v>
      </c>
      <c r="H14" s="245" t="s">
        <v>466</v>
      </c>
    </row>
  </sheetData>
  <picture r:id="rId1"/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C2" xSplit="2" ySplit="1"/>
    </sheetView>
  </sheetViews>
  <sheetFormatPr defaultRowHeight="0"/>
  <cols>
    <col collapsed="false" customWidth="true" hidden="false" max="7" min="7" style="0" width="38.816901408450704"/>
    <col collapsed="false" customWidth="true" hidden="false" max="1" min="1" style="0" width="12.901408450704226"/>
    <col collapsed="false" customWidth="true" hidden="false" max="2" min="2" style="0" width="18.535211267605632"/>
    <col collapsed="false" customWidth="true" hidden="false" max="3" min="3" style="0" width="39.943661971830984"/>
    <col collapsed="false" customWidth="true" hidden="false" max="4" min="4" style="0" width="45.57746478873239"/>
    <col collapsed="false" customWidth="true" hidden="false" max="5" min="5" style="0" width="13.464788732394366"/>
    <col collapsed="false" customWidth="true" hidden="false" max="6" min="6" style="0" width="28.676056338028168"/>
  </cols>
  <sheetData>
    <row customHeight="true" ht="22.61904761904762" r="1">
      <c r="A1" s="248" t="s">
        <v>478</v>
      </c>
      <c r="B1" s="248" t="s">
        <v>479</v>
      </c>
      <c r="C1" s="248" t="s">
        <v>480</v>
      </c>
      <c r="D1" s="248" t="s">
        <v>481</v>
      </c>
      <c r="E1" s="248" t="s">
        <v>482</v>
      </c>
      <c r="F1" s="248" t="s">
        <v>483</v>
      </c>
      <c r="G1" s="249" t="s">
        <v>484</v>
      </c>
    </row>
    <row r="2">
      <c r="A2" s="250" t="s">
        <v>485</v>
      </c>
      <c r="B2" s="250" t="s">
        <v>486</v>
      </c>
      <c r="C2" s="251" t="s">
        <v>487</v>
      </c>
      <c r="D2" s="251" t="s">
        <v>488</v>
      </c>
      <c r="E2" s="252" t="s">
        <v>489</v>
      </c>
      <c r="F2" s="251" t="s">
        <v>490</v>
      </c>
      <c r="G2" s="253" t="s">
        <v>491</v>
      </c>
    </row>
    <row r="3">
      <c r="A3" s="254" t="s">
        <v>492</v>
      </c>
      <c r="B3" s="254" t="s">
        <v>493</v>
      </c>
      <c r="C3" s="255" t="s">
        <v>494</v>
      </c>
      <c r="D3" s="255" t="s">
        <v>495</v>
      </c>
      <c r="E3" s="256" t="s">
        <v>496</v>
      </c>
      <c r="F3" s="255" t="s">
        <v>490</v>
      </c>
      <c r="G3" s="253" t="s">
        <v>497</v>
      </c>
    </row>
    <row r="4">
      <c r="A4" s="250" t="s">
        <v>498</v>
      </c>
      <c r="B4" s="250" t="s">
        <v>499</v>
      </c>
      <c r="C4" s="251" t="s">
        <v>500</v>
      </c>
      <c r="D4" s="251" t="s">
        <v>501</v>
      </c>
      <c r="E4" s="252" t="s">
        <v>502</v>
      </c>
      <c r="F4" s="251" t="s">
        <v>490</v>
      </c>
      <c r="G4" s="253" t="s">
        <v>503</v>
      </c>
    </row>
    <row r="5">
      <c r="A5" s="254" t="s">
        <v>504</v>
      </c>
      <c r="B5" s="254" t="s">
        <v>505</v>
      </c>
      <c r="C5" s="255" t="s">
        <v>506</v>
      </c>
      <c r="D5" s="255" t="s">
        <v>507</v>
      </c>
      <c r="E5" s="256" t="s">
        <v>508</v>
      </c>
      <c r="F5" s="255" t="s">
        <v>490</v>
      </c>
      <c r="G5" s="253" t="s">
        <v>509</v>
      </c>
    </row>
    <row r="6">
      <c r="A6" s="250" t="s">
        <v>510</v>
      </c>
      <c r="B6" s="250" t="s">
        <v>511</v>
      </c>
      <c r="C6" s="251" t="s">
        <v>512</v>
      </c>
      <c r="D6" s="251" t="s">
        <v>513</v>
      </c>
      <c r="E6" s="257" t="s">
        <v>514</v>
      </c>
      <c r="F6" s="251" t="s">
        <v>490</v>
      </c>
      <c r="G6" s="253" t="s">
        <v>515</v>
      </c>
    </row>
    <row r="7">
      <c r="A7" s="254" t="s">
        <v>516</v>
      </c>
      <c r="B7" s="254" t="s">
        <v>517</v>
      </c>
      <c r="C7" s="255" t="s">
        <v>518</v>
      </c>
      <c r="D7" s="255" t="s">
        <v>519</v>
      </c>
      <c r="E7" s="256" t="s">
        <v>520</v>
      </c>
      <c r="F7" s="255" t="s">
        <v>490</v>
      </c>
      <c r="G7" s="253" t="s">
        <v>521</v>
      </c>
    </row>
    <row r="8">
      <c r="A8" s="250" t="s">
        <v>522</v>
      </c>
      <c r="B8" s="250" t="s">
        <v>523</v>
      </c>
      <c r="C8" s="251" t="s">
        <v>524</v>
      </c>
      <c r="D8" s="251" t="s">
        <v>525</v>
      </c>
      <c r="E8" s="252" t="s">
        <v>526</v>
      </c>
      <c r="F8" s="251" t="s">
        <v>490</v>
      </c>
      <c r="G8" s="253" t="s">
        <v>527</v>
      </c>
    </row>
    <row r="9">
      <c r="A9" s="254" t="s">
        <v>528</v>
      </c>
      <c r="B9" s="254" t="s">
        <v>529</v>
      </c>
      <c r="C9" s="255" t="s">
        <v>530</v>
      </c>
      <c r="D9" s="255" t="s">
        <v>531</v>
      </c>
      <c r="E9" s="256" t="s">
        <v>532</v>
      </c>
      <c r="F9" s="255" t="s">
        <v>490</v>
      </c>
      <c r="G9" s="253" t="s">
        <v>533</v>
      </c>
    </row>
    <row r="10">
      <c r="A10" s="250" t="s">
        <v>534</v>
      </c>
      <c r="B10" s="250" t="s">
        <v>535</v>
      </c>
      <c r="C10" s="251" t="s">
        <v>536</v>
      </c>
      <c r="D10" s="251" t="s">
        <v>537</v>
      </c>
      <c r="E10" s="252" t="s">
        <v>538</v>
      </c>
      <c r="F10" s="251" t="s">
        <v>490</v>
      </c>
      <c r="G10" s="253" t="s">
        <v>539</v>
      </c>
    </row>
    <row r="11">
      <c r="A11" s="254" t="s">
        <v>540</v>
      </c>
      <c r="B11" s="254" t="s">
        <v>541</v>
      </c>
      <c r="C11" s="255" t="s">
        <v>542</v>
      </c>
      <c r="D11" s="255" t="s">
        <v>543</v>
      </c>
      <c r="E11" s="256" t="s">
        <v>544</v>
      </c>
      <c r="F11" s="255" t="s">
        <v>490</v>
      </c>
      <c r="G11" s="253" t="s">
        <v>545</v>
      </c>
    </row>
    <row r="12">
      <c r="A12" s="250" t="s">
        <v>546</v>
      </c>
      <c r="B12" s="250" t="s">
        <v>547</v>
      </c>
      <c r="C12" s="251" t="s">
        <v>548</v>
      </c>
      <c r="D12" s="258" t="s">
        <v>549</v>
      </c>
      <c r="E12" s="252" t="s">
        <v>550</v>
      </c>
      <c r="F12" s="251" t="s">
        <v>490</v>
      </c>
      <c r="G12" s="253" t="s">
        <v>551</v>
      </c>
    </row>
    <row r="13">
      <c r="A13" s="254" t="s">
        <v>552</v>
      </c>
      <c r="B13" s="254" t="s">
        <v>553</v>
      </c>
      <c r="C13" s="259" t="s">
        <v>554</v>
      </c>
      <c r="D13" s="255" t="s">
        <v>549</v>
      </c>
      <c r="E13" s="256" t="s">
        <v>555</v>
      </c>
      <c r="F13" s="255" t="s">
        <v>490</v>
      </c>
      <c r="G13" s="253" t="s">
        <v>556</v>
      </c>
    </row>
    <row r="14">
      <c r="A14" s="250" t="s">
        <v>557</v>
      </c>
      <c r="B14" s="250" t="s">
        <v>558</v>
      </c>
      <c r="C14" s="258" t="s">
        <v>559</v>
      </c>
      <c r="D14" s="251" t="s">
        <v>560</v>
      </c>
      <c r="E14" s="257" t="s">
        <v>561</v>
      </c>
      <c r="F14" s="251" t="s">
        <v>490</v>
      </c>
      <c r="G14" s="253" t="s">
        <v>562</v>
      </c>
    </row>
    <row r="15">
      <c r="A15" s="254" t="s">
        <v>563</v>
      </c>
      <c r="B15" s="254" t="s">
        <v>564</v>
      </c>
      <c r="C15" s="255" t="s">
        <v>565</v>
      </c>
      <c r="D15" s="255" t="s">
        <v>566</v>
      </c>
      <c r="E15" s="256" t="s">
        <v>567</v>
      </c>
      <c r="F15" s="260" t="s">
        <v>490</v>
      </c>
      <c r="G15" s="253" t="s">
        <v>568</v>
      </c>
    </row>
    <row r="16">
      <c r="A16" s="250" t="s">
        <v>569</v>
      </c>
      <c r="B16" s="250" t="s">
        <v>570</v>
      </c>
      <c r="C16" s="251" t="s">
        <v>571</v>
      </c>
      <c r="D16" s="251" t="s">
        <v>572</v>
      </c>
      <c r="E16" s="252" t="s">
        <v>573</v>
      </c>
      <c r="F16" s="251" t="s">
        <v>490</v>
      </c>
      <c r="G16" s="253" t="s">
        <v>574</v>
      </c>
    </row>
    <row r="17">
      <c r="A17" s="254" t="s">
        <v>575</v>
      </c>
      <c r="B17" s="254" t="s">
        <v>576</v>
      </c>
      <c r="C17" s="255" t="s">
        <v>577</v>
      </c>
      <c r="D17" s="255" t="s">
        <v>578</v>
      </c>
      <c r="E17" s="256" t="s">
        <v>579</v>
      </c>
      <c r="F17" s="255" t="s">
        <v>490</v>
      </c>
      <c r="G17" s="253" t="s">
        <v>580</v>
      </c>
    </row>
    <row r="18">
      <c r="A18" s="250" t="s">
        <v>581</v>
      </c>
      <c r="B18" s="250" t="s">
        <v>582</v>
      </c>
      <c r="C18" s="251" t="s">
        <v>583</v>
      </c>
      <c r="D18" s="251" t="s">
        <v>584</v>
      </c>
      <c r="E18" s="252" t="s">
        <v>585</v>
      </c>
      <c r="F18" s="251" t="s">
        <v>490</v>
      </c>
      <c r="G18" s="253" t="s">
        <v>586</v>
      </c>
    </row>
    <row r="19">
      <c r="A19" s="254" t="s">
        <v>587</v>
      </c>
      <c r="B19" s="254" t="s">
        <v>588</v>
      </c>
      <c r="C19" s="255" t="s">
        <v>589</v>
      </c>
      <c r="D19" s="255" t="s">
        <v>590</v>
      </c>
      <c r="E19" s="256" t="s">
        <v>591</v>
      </c>
      <c r="F19" s="255" t="s">
        <v>490</v>
      </c>
      <c r="G19" s="253" t="s">
        <v>592</v>
      </c>
    </row>
    <row r="20">
      <c r="A20" s="250" t="s">
        <v>593</v>
      </c>
      <c r="B20" s="250" t="s">
        <v>594</v>
      </c>
      <c r="C20" s="251" t="s">
        <v>595</v>
      </c>
      <c r="D20" s="251" t="s">
        <v>596</v>
      </c>
      <c r="E20" s="252" t="s">
        <v>597</v>
      </c>
      <c r="F20" s="251" t="s">
        <v>490</v>
      </c>
      <c r="G20" s="253" t="s">
        <v>598</v>
      </c>
    </row>
    <row r="21">
      <c r="A21" s="254" t="s">
        <v>599</v>
      </c>
      <c r="B21" s="254" t="s">
        <v>600</v>
      </c>
      <c r="C21" s="255" t="s">
        <v>601</v>
      </c>
      <c r="D21" s="255" t="s">
        <v>602</v>
      </c>
      <c r="E21" s="256" t="s">
        <v>603</v>
      </c>
      <c r="F21" s="255" t="s">
        <v>490</v>
      </c>
      <c r="G21" s="253" t="s">
        <v>604</v>
      </c>
    </row>
    <row r="22">
      <c r="A22" s="250" t="s">
        <v>605</v>
      </c>
      <c r="B22" s="250" t="s">
        <v>606</v>
      </c>
      <c r="C22" s="251" t="s">
        <v>607</v>
      </c>
      <c r="D22" s="251" t="s">
        <v>608</v>
      </c>
      <c r="E22" s="252" t="s">
        <v>609</v>
      </c>
      <c r="F22" s="251" t="s">
        <v>490</v>
      </c>
      <c r="G22" s="253" t="s">
        <v>610</v>
      </c>
    </row>
    <row r="23">
      <c r="A23" s="254" t="s">
        <v>611</v>
      </c>
      <c r="B23" s="254" t="s">
        <v>612</v>
      </c>
      <c r="C23" s="255" t="s">
        <v>613</v>
      </c>
      <c r="D23" s="255" t="s">
        <v>614</v>
      </c>
      <c r="E23" s="256" t="s">
        <v>615</v>
      </c>
      <c r="F23" s="255" t="s">
        <v>490</v>
      </c>
      <c r="G23" s="253" t="s">
        <v>616</v>
      </c>
    </row>
    <row r="24">
      <c r="A24" s="249" t="s">
        <v>617</v>
      </c>
      <c r="B24" s="253" t="s">
        <v>618</v>
      </c>
      <c r="C24" s="253" t="s">
        <v>619</v>
      </c>
      <c r="D24" s="253" t="s">
        <v>620</v>
      </c>
      <c r="E24" s="253" t="s">
        <v>621</v>
      </c>
      <c r="F24" s="253" t="s">
        <v>490</v>
      </c>
      <c r="G24" s="253" t="s">
        <v>622</v>
      </c>
    </row>
    <row r="25">
      <c r="A25" s="249" t="s">
        <v>623</v>
      </c>
      <c r="B25" s="253" t="s">
        <v>624</v>
      </c>
      <c r="C25" s="253" t="s">
        <v>625</v>
      </c>
      <c r="D25" s="253" t="s">
        <v>626</v>
      </c>
      <c r="E25" s="253" t="s">
        <v>627</v>
      </c>
      <c r="F25" s="253" t="s">
        <v>490</v>
      </c>
      <c r="G25" s="253" t="s">
        <v>628</v>
      </c>
    </row>
  </sheetData>
  <picture r:id="rId1"/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B2" xSplit="1" ySplit="1"/>
    </sheetView>
  </sheetViews>
  <sheetFormatPr defaultRowHeight="0"/>
  <cols>
    <col collapsed="false" customWidth="true" hidden="false" max="2" min="2" style="0" width="16.281690140845072"/>
    <col collapsed="false" customWidth="true" hidden="false" max="4" min="4" style="0" width="30.929577464788732"/>
    <col collapsed="false" customWidth="true" hidden="false" max="6" min="6" style="0" width="34.309859154929576"/>
    <col collapsed="false" customWidth="true" hidden="false" max="8" min="8" style="0" width="28.676056338028168"/>
    <col collapsed="false" customWidth="true" hidden="false" max="10" min="10" style="0" width="17.408450704225352"/>
    <col collapsed="false" customWidth="true" hidden="false" max="1" min="1" style="0" width="24.5817376167115"/>
    <col collapsed="false" customWidth="true" hidden="false" max="3" min="3" style="0" width="24.169014084507044"/>
    <col collapsed="false" customWidth="true" hidden="false" max="5" min="5" style="0" width="30.929577464788732"/>
    <col collapsed="false" customWidth="true" hidden="false" max="7" min="7" style="0" width="28.676056338028168"/>
    <col collapsed="false" customWidth="true" hidden="false" max="9" min="9" style="0" width="33.183098591549296"/>
  </cols>
  <sheetData>
    <row customHeight="true" ht="26.19047619047619" r="1">
      <c r="A1" s="261" t="s">
        <v>629</v>
      </c>
      <c r="B1" s="261" t="s">
        <v>630</v>
      </c>
      <c r="C1" s="261" t="s">
        <v>631</v>
      </c>
      <c r="D1" s="261" t="s">
        <v>632</v>
      </c>
      <c r="E1" s="261" t="s">
        <v>633</v>
      </c>
      <c r="F1" s="261" t="s">
        <v>634</v>
      </c>
      <c r="G1" s="261" t="s">
        <v>635</v>
      </c>
      <c r="H1" s="261" t="s">
        <v>636</v>
      </c>
      <c r="I1" s="261" t="s">
        <v>637</v>
      </c>
      <c r="J1" s="261" t="s">
        <v>638</v>
      </c>
    </row>
    <row r="2">
      <c r="A2" s="262" t="s">
        <v>639</v>
      </c>
      <c r="B2" s="262" t="s">
        <v>640</v>
      </c>
      <c r="C2" s="262" t="s">
        <v>641</v>
      </c>
      <c r="D2" s="262" t="s">
        <v>642</v>
      </c>
      <c r="E2" s="262" t="s">
        <v>643</v>
      </c>
      <c r="F2" s="262" t="s">
        <v>644</v>
      </c>
      <c r="G2" s="262" t="s">
        <v>645</v>
      </c>
      <c r="H2" s="262" t="s">
        <v>646</v>
      </c>
      <c r="I2" s="262" t="s">
        <v>647</v>
      </c>
      <c r="J2" s="263" t="s">
        <v>648</v>
      </c>
    </row>
    <row r="3">
      <c r="A3" s="264" t="s">
        <v>649</v>
      </c>
      <c r="B3" s="264" t="s">
        <v>640</v>
      </c>
      <c r="C3" s="264" t="s">
        <v>650</v>
      </c>
      <c r="D3" s="264" t="s">
        <v>651</v>
      </c>
      <c r="E3" s="264" t="s">
        <v>652</v>
      </c>
      <c r="F3" s="264" t="s">
        <v>653</v>
      </c>
      <c r="G3" s="264" t="s">
        <v>654</v>
      </c>
      <c r="H3" s="264" t="s">
        <v>655</v>
      </c>
      <c r="I3" s="264" t="s">
        <v>656</v>
      </c>
      <c r="J3" s="265" t="s">
        <v>657</v>
      </c>
    </row>
    <row r="4">
      <c r="A4" s="264" t="s">
        <v>658</v>
      </c>
      <c r="B4" s="264" t="s">
        <v>640</v>
      </c>
      <c r="C4" s="264" t="s">
        <v>650</v>
      </c>
      <c r="D4" s="264" t="s">
        <v>659</v>
      </c>
      <c r="E4" s="264" t="s">
        <v>652</v>
      </c>
      <c r="F4" s="264" t="s">
        <v>653</v>
      </c>
      <c r="G4" s="264" t="s">
        <v>654</v>
      </c>
      <c r="H4" s="264" t="s">
        <v>655</v>
      </c>
      <c r="I4" s="264" t="s">
        <v>660</v>
      </c>
      <c r="J4" s="265" t="s">
        <v>657</v>
      </c>
    </row>
    <row r="5">
      <c r="A5" s="264" t="s">
        <v>661</v>
      </c>
      <c r="B5" s="264" t="s">
        <v>640</v>
      </c>
      <c r="C5" s="264" t="s">
        <v>650</v>
      </c>
      <c r="D5" s="264" t="s">
        <v>651</v>
      </c>
      <c r="E5" s="264" t="s">
        <v>652</v>
      </c>
      <c r="F5" s="264" t="s">
        <v>653</v>
      </c>
      <c r="G5" s="264" t="s">
        <v>654</v>
      </c>
      <c r="H5" s="264" t="s">
        <v>655</v>
      </c>
      <c r="I5" s="264" t="s">
        <v>662</v>
      </c>
      <c r="J5" s="265" t="s">
        <v>657</v>
      </c>
    </row>
    <row r="6">
      <c r="A6" s="266" t="s">
        <v>663</v>
      </c>
      <c r="B6" s="266" t="s">
        <v>640</v>
      </c>
      <c r="C6" s="266" t="s">
        <v>650</v>
      </c>
      <c r="D6" s="266" t="s">
        <v>659</v>
      </c>
      <c r="E6" s="266" t="s">
        <v>652</v>
      </c>
      <c r="F6" s="266" t="s">
        <v>653</v>
      </c>
      <c r="G6" s="266" t="s">
        <v>654</v>
      </c>
      <c r="H6" s="266" t="s">
        <v>655</v>
      </c>
      <c r="I6" s="266" t="s">
        <v>664</v>
      </c>
      <c r="J6" s="267" t="s">
        <v>657</v>
      </c>
    </row>
    <row r="7">
      <c r="A7" s="266" t="s">
        <v>665</v>
      </c>
      <c r="B7" s="266" t="s">
        <v>666</v>
      </c>
      <c r="C7" s="266" t="s">
        <v>667</v>
      </c>
      <c r="D7" s="266" t="s">
        <v>668</v>
      </c>
      <c r="E7" s="266" t="s">
        <v>669</v>
      </c>
      <c r="F7" s="266" t="s">
        <v>670</v>
      </c>
      <c r="G7" s="266" t="s">
        <v>671</v>
      </c>
      <c r="H7" s="266" t="s">
        <v>672</v>
      </c>
      <c r="I7" s="266" t="s">
        <v>673</v>
      </c>
      <c r="J7" s="267" t="s">
        <v>674</v>
      </c>
    </row>
    <row r="8">
      <c r="A8" s="268" t="s">
        <v>675</v>
      </c>
      <c r="B8" s="268" t="s">
        <v>676</v>
      </c>
      <c r="C8" s="268" t="s">
        <v>677</v>
      </c>
      <c r="D8" s="268" t="s">
        <v>678</v>
      </c>
      <c r="E8" s="268" t="s">
        <v>679</v>
      </c>
      <c r="F8" s="268" t="s">
        <v>680</v>
      </c>
      <c r="G8" s="268" t="s">
        <v>681</v>
      </c>
      <c r="H8" s="268" t="s">
        <v>682</v>
      </c>
      <c r="I8" s="268" t="s">
        <v>683</v>
      </c>
      <c r="J8" s="269" t="s">
        <v>684</v>
      </c>
    </row>
    <row r="9">
      <c r="A9" s="268" t="s">
        <v>685</v>
      </c>
      <c r="B9" s="268" t="s">
        <v>686</v>
      </c>
      <c r="C9" s="268" t="s">
        <v>687</v>
      </c>
      <c r="D9" s="268" t="s">
        <v>688</v>
      </c>
      <c r="E9" s="268" t="s">
        <v>689</v>
      </c>
      <c r="F9" s="268" t="s">
        <v>690</v>
      </c>
      <c r="G9" s="268" t="s">
        <v>691</v>
      </c>
      <c r="H9" s="268" t="s">
        <v>692</v>
      </c>
      <c r="I9" s="268" t="s">
        <v>693</v>
      </c>
      <c r="J9" s="269" t="s">
        <v>694</v>
      </c>
    </row>
    <row r="10">
      <c r="A10" s="270" t="s">
        <v>695</v>
      </c>
      <c r="B10" s="270" t="s">
        <v>696</v>
      </c>
      <c r="C10" s="270" t="s">
        <v>697</v>
      </c>
      <c r="D10" s="270" t="s">
        <v>698</v>
      </c>
      <c r="E10" s="270" t="s">
        <v>699</v>
      </c>
      <c r="F10" s="270" t="s">
        <v>700</v>
      </c>
      <c r="G10" s="270" t="s">
        <v>701</v>
      </c>
      <c r="H10" s="270" t="s">
        <v>702</v>
      </c>
      <c r="I10" s="270" t="s">
        <v>703</v>
      </c>
      <c r="J10" s="271" t="s">
        <v>704</v>
      </c>
    </row>
    <row r="11">
      <c r="A11" s="270" t="s">
        <v>705</v>
      </c>
      <c r="B11" s="270" t="s">
        <v>706</v>
      </c>
      <c r="C11" s="270" t="s">
        <v>707</v>
      </c>
      <c r="D11" s="270" t="s">
        <v>708</v>
      </c>
      <c r="E11" s="270" t="s">
        <v>709</v>
      </c>
      <c r="F11" s="270" t="s">
        <v>710</v>
      </c>
      <c r="G11" s="270" t="s">
        <v>711</v>
      </c>
      <c r="H11" s="270" t="s">
        <v>712</v>
      </c>
      <c r="I11" s="270" t="s">
        <v>703</v>
      </c>
      <c r="J11" s="271" t="s">
        <v>713</v>
      </c>
    </row>
    <row r="12">
      <c r="A12" s="270" t="s">
        <v>714</v>
      </c>
      <c r="B12" s="270" t="s">
        <v>715</v>
      </c>
      <c r="C12" s="270" t="s">
        <v>716</v>
      </c>
      <c r="D12" s="270" t="s">
        <v>717</v>
      </c>
      <c r="E12" s="270" t="s">
        <v>718</v>
      </c>
      <c r="F12" s="270" t="s">
        <v>719</v>
      </c>
      <c r="G12" s="270" t="s">
        <v>720</v>
      </c>
      <c r="H12" s="270" t="s">
        <v>721</v>
      </c>
      <c r="I12" s="270" t="s">
        <v>722</v>
      </c>
      <c r="J12" s="271" t="s">
        <v>723</v>
      </c>
    </row>
    <row r="13">
      <c r="A13" s="270" t="s">
        <v>724</v>
      </c>
      <c r="B13" s="270" t="s">
        <v>725</v>
      </c>
      <c r="C13" s="270" t="s">
        <v>726</v>
      </c>
      <c r="D13" s="270" t="s">
        <v>727</v>
      </c>
      <c r="E13" s="270" t="s">
        <v>728</v>
      </c>
      <c r="F13" s="270" t="s">
        <v>729</v>
      </c>
      <c r="G13" s="270" t="s">
        <v>730</v>
      </c>
      <c r="H13" s="270" t="s">
        <v>731</v>
      </c>
      <c r="I13" s="270" t="s">
        <v>732</v>
      </c>
      <c r="J13" s="271" t="s">
        <v>733</v>
      </c>
    </row>
    <row r="14">
      <c r="A14" s="264" t="s">
        <v>734</v>
      </c>
      <c r="B14" s="264" t="s">
        <v>640</v>
      </c>
      <c r="C14" s="264" t="s">
        <v>650</v>
      </c>
      <c r="D14" s="264" t="s">
        <v>735</v>
      </c>
      <c r="E14" s="264" t="s">
        <v>652</v>
      </c>
      <c r="F14" s="264" t="s">
        <v>653</v>
      </c>
      <c r="G14" s="264" t="s">
        <v>654</v>
      </c>
      <c r="H14" s="264" t="s">
        <v>655</v>
      </c>
      <c r="I14" s="264" t="s">
        <v>736</v>
      </c>
      <c r="J14" s="265" t="s">
        <v>657</v>
      </c>
    </row>
    <row r="15">
      <c r="A15" s="264" t="s">
        <v>737</v>
      </c>
      <c r="B15" s="264" t="s">
        <v>640</v>
      </c>
      <c r="C15" s="264" t="s">
        <v>650</v>
      </c>
      <c r="D15" s="264" t="s">
        <v>738</v>
      </c>
      <c r="E15" s="264" t="s">
        <v>652</v>
      </c>
      <c r="F15" s="264" t="s">
        <v>653</v>
      </c>
      <c r="G15" s="264" t="s">
        <v>654</v>
      </c>
      <c r="H15" s="264" t="s">
        <v>655</v>
      </c>
      <c r="I15" s="264" t="s">
        <v>736</v>
      </c>
      <c r="J15" s="265" t="s">
        <v>657</v>
      </c>
    </row>
    <row r="16">
      <c r="A16" s="264" t="s">
        <v>739</v>
      </c>
      <c r="B16" s="264" t="s">
        <v>740</v>
      </c>
      <c r="C16" s="264" t="s">
        <v>741</v>
      </c>
      <c r="D16" s="264" t="s">
        <v>742</v>
      </c>
      <c r="E16" s="264" t="s">
        <v>743</v>
      </c>
      <c r="F16" s="264" t="s">
        <v>744</v>
      </c>
      <c r="G16" s="264" t="s">
        <v>745</v>
      </c>
      <c r="H16" s="264" t="s">
        <v>746</v>
      </c>
      <c r="I16" s="264" t="s">
        <v>736</v>
      </c>
      <c r="J16" s="265" t="s">
        <v>747</v>
      </c>
    </row>
    <row r="17">
      <c r="A17" s="264" t="s">
        <v>748</v>
      </c>
      <c r="B17" s="264" t="s">
        <v>740</v>
      </c>
      <c r="C17" s="264" t="s">
        <v>741</v>
      </c>
      <c r="D17" s="264" t="s">
        <v>742</v>
      </c>
      <c r="E17" s="264" t="s">
        <v>743</v>
      </c>
      <c r="F17" s="264" t="s">
        <v>744</v>
      </c>
      <c r="G17" s="264" t="s">
        <v>745</v>
      </c>
      <c r="H17" s="264" t="s">
        <v>746</v>
      </c>
      <c r="I17" s="264" t="s">
        <v>736</v>
      </c>
      <c r="J17" s="265" t="s">
        <v>747</v>
      </c>
    </row>
    <row r="18">
      <c r="A18" s="264" t="s">
        <v>749</v>
      </c>
      <c r="B18" s="264" t="s">
        <v>640</v>
      </c>
      <c r="C18" s="264" t="s">
        <v>750</v>
      </c>
      <c r="D18" s="264" t="s">
        <v>751</v>
      </c>
      <c r="E18" s="264" t="s">
        <v>752</v>
      </c>
      <c r="F18" s="264" t="s">
        <v>753</v>
      </c>
      <c r="G18" s="264" t="s">
        <v>754</v>
      </c>
      <c r="H18" s="264" t="s">
        <v>755</v>
      </c>
      <c r="I18" s="264" t="s">
        <v>736</v>
      </c>
      <c r="J18" s="265" t="s">
        <v>747</v>
      </c>
    </row>
    <row r="19">
      <c r="A19" s="264" t="s">
        <v>756</v>
      </c>
      <c r="B19" s="264" t="s">
        <v>640</v>
      </c>
      <c r="C19" s="264" t="s">
        <v>750</v>
      </c>
      <c r="D19" s="264" t="s">
        <v>757</v>
      </c>
      <c r="E19" s="264" t="s">
        <v>752</v>
      </c>
      <c r="F19" s="264" t="s">
        <v>753</v>
      </c>
      <c r="G19" s="264" t="s">
        <v>754</v>
      </c>
      <c r="H19" s="264" t="s">
        <v>755</v>
      </c>
      <c r="I19" s="264" t="s">
        <v>736</v>
      </c>
      <c r="J19" s="265" t="s">
        <v>747</v>
      </c>
    </row>
    <row r="20">
      <c r="A20" s="264" t="s">
        <v>758</v>
      </c>
      <c r="B20" s="264" t="s">
        <v>640</v>
      </c>
      <c r="C20" s="264" t="s">
        <v>750</v>
      </c>
      <c r="D20" s="264" t="s">
        <v>751</v>
      </c>
      <c r="E20" s="264" t="s">
        <v>752</v>
      </c>
      <c r="F20" s="264" t="s">
        <v>753</v>
      </c>
      <c r="G20" s="264" t="s">
        <v>754</v>
      </c>
      <c r="H20" s="264" t="s">
        <v>755</v>
      </c>
      <c r="I20" s="264" t="s">
        <v>736</v>
      </c>
      <c r="J20" s="265" t="s">
        <v>747</v>
      </c>
    </row>
    <row r="21">
      <c r="A21" s="264" t="s">
        <v>759</v>
      </c>
      <c r="B21" s="264" t="s">
        <v>760</v>
      </c>
      <c r="C21" s="264" t="s">
        <v>761</v>
      </c>
      <c r="D21" s="264" t="s">
        <v>762</v>
      </c>
      <c r="E21" s="264" t="s">
        <v>763</v>
      </c>
      <c r="F21" s="264" t="s">
        <v>764</v>
      </c>
      <c r="G21" s="264" t="s">
        <v>765</v>
      </c>
      <c r="H21" s="264" t="s">
        <v>766</v>
      </c>
      <c r="I21" s="264" t="s">
        <v>767</v>
      </c>
      <c r="J21" s="265" t="s">
        <v>768</v>
      </c>
    </row>
    <row r="22">
      <c r="A22" s="264" t="s">
        <v>769</v>
      </c>
      <c r="B22" s="264" t="s">
        <v>770</v>
      </c>
      <c r="C22" s="264" t="s">
        <v>771</v>
      </c>
      <c r="D22" s="264" t="s">
        <v>772</v>
      </c>
      <c r="E22" s="264" t="s">
        <v>773</v>
      </c>
      <c r="F22" s="264" t="s">
        <v>774</v>
      </c>
      <c r="G22" s="264" t="s">
        <v>775</v>
      </c>
      <c r="H22" s="264" t="s">
        <v>776</v>
      </c>
      <c r="I22" s="264" t="s">
        <v>777</v>
      </c>
      <c r="J22" s="265" t="s">
        <v>778</v>
      </c>
    </row>
    <row r="23">
      <c r="A23" s="264" t="s">
        <v>779</v>
      </c>
      <c r="B23" s="264" t="s">
        <v>780</v>
      </c>
      <c r="C23" s="264" t="s">
        <v>781</v>
      </c>
      <c r="D23" s="264" t="s">
        <v>782</v>
      </c>
      <c r="E23" s="264" t="s">
        <v>783</v>
      </c>
      <c r="F23" s="264" t="s">
        <v>784</v>
      </c>
      <c r="G23" s="264" t="s">
        <v>785</v>
      </c>
      <c r="H23" s="264" t="s">
        <v>786</v>
      </c>
      <c r="I23" s="264" t="s">
        <v>787</v>
      </c>
      <c r="J23" s="265" t="s">
        <v>788</v>
      </c>
    </row>
  </sheetData>
  <picture r:id="rId1"/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C2" xSplit="2" ySplit="1"/>
    </sheetView>
  </sheetViews>
  <sheetFormatPr defaultRowHeight="0"/>
  <cols>
    <col collapsed="false" customWidth="true" hidden="false" max="1" min="1" style="0" width="15.154929577464788"/>
    <col collapsed="false" customWidth="true" hidden="false" max="2" min="2" style="0" width="28.676056338028168"/>
    <col collapsed="false" customWidth="true" hidden="false" max="3" min="3" style="0" width="33.183098591549296"/>
    <col collapsed="false" customWidth="true" hidden="false" max="4" min="4" style="0" width="33.183098591549296"/>
    <col collapsed="false" customWidth="true" hidden="false" max="5" min="5" style="0" width="33.183098591549296"/>
    <col collapsed="false" customWidth="true" hidden="false" max="6" min="6" style="0" width="33.183098591549296"/>
    <col collapsed="false" customWidth="true" hidden="false" max="7" min="7" style="0" width="33.183098591549296"/>
  </cols>
  <sheetData>
    <row r="1">
      <c r="A1" s="272" t="s">
        <v>789</v>
      </c>
      <c r="B1" s="272" t="s">
        <v>790</v>
      </c>
      <c r="C1" s="272" t="s">
        <v>791</v>
      </c>
      <c r="D1" s="272" t="s">
        <v>792</v>
      </c>
      <c r="E1" s="272" t="s">
        <v>793</v>
      </c>
      <c r="F1" s="272" t="s">
        <v>794</v>
      </c>
      <c r="G1" s="272" t="s">
        <v>795</v>
      </c>
    </row>
    <row r="2">
      <c r="A2" s="273" t="s">
        <v>796</v>
      </c>
      <c r="B2" s="273" t="s">
        <v>797</v>
      </c>
      <c r="C2" s="273" t="s">
        <v>798</v>
      </c>
      <c r="D2" s="273" t="s">
        <v>799</v>
      </c>
      <c r="E2" s="273" t="s">
        <v>800</v>
      </c>
      <c r="F2" s="273" t="s">
        <v>801</v>
      </c>
      <c r="G2" s="273" t="s">
        <v>802</v>
      </c>
    </row>
    <row r="3">
      <c r="A3" s="273" t="s">
        <v>803</v>
      </c>
      <c r="B3" s="273" t="s">
        <v>804</v>
      </c>
      <c r="C3" s="273" t="s">
        <v>805</v>
      </c>
      <c r="D3" s="273" t="s">
        <v>806</v>
      </c>
      <c r="E3" s="273" t="s">
        <v>807</v>
      </c>
      <c r="F3" s="273" t="s">
        <v>801</v>
      </c>
      <c r="G3" s="273" t="s">
        <v>808</v>
      </c>
    </row>
    <row r="4">
      <c r="A4" s="273" t="s">
        <v>809</v>
      </c>
      <c r="B4" s="273" t="s">
        <v>810</v>
      </c>
      <c r="C4" s="273" t="s">
        <v>811</v>
      </c>
      <c r="D4" s="273" t="s">
        <v>806</v>
      </c>
      <c r="E4" s="273" t="s">
        <v>812</v>
      </c>
      <c r="F4" s="273" t="s">
        <v>813</v>
      </c>
      <c r="G4" s="273" t="s">
        <v>814</v>
      </c>
    </row>
    <row r="5">
      <c r="A5" s="273" t="s">
        <v>815</v>
      </c>
      <c r="B5" s="273" t="s">
        <v>816</v>
      </c>
      <c r="C5" s="273" t="s">
        <v>817</v>
      </c>
      <c r="D5" s="273" t="s">
        <v>818</v>
      </c>
      <c r="E5" s="273" t="s">
        <v>816</v>
      </c>
      <c r="F5" s="273" t="s">
        <v>819</v>
      </c>
      <c r="G5" s="273" t="s">
        <v>820</v>
      </c>
    </row>
    <row r="6">
      <c r="A6" s="273" t="s">
        <v>821</v>
      </c>
      <c r="B6" s="273" t="s">
        <v>822</v>
      </c>
      <c r="C6" s="273" t="s">
        <v>823</v>
      </c>
      <c r="D6" s="273" t="s">
        <v>818</v>
      </c>
      <c r="E6" s="273" t="s">
        <v>822</v>
      </c>
      <c r="F6" s="273" t="s">
        <v>819</v>
      </c>
      <c r="G6" s="273" t="s">
        <v>824</v>
      </c>
    </row>
    <row r="7">
      <c r="A7" s="273" t="s">
        <v>825</v>
      </c>
      <c r="B7" s="273" t="s">
        <v>826</v>
      </c>
      <c r="C7" s="273" t="s">
        <v>827</v>
      </c>
      <c r="D7" s="273" t="s">
        <v>818</v>
      </c>
      <c r="E7" s="273" t="s">
        <v>828</v>
      </c>
      <c r="F7" s="273" t="s">
        <v>829</v>
      </c>
      <c r="G7" s="273" t="s">
        <v>830</v>
      </c>
    </row>
    <row r="8">
      <c r="A8" s="273" t="s">
        <v>831</v>
      </c>
      <c r="B8" s="273" t="s">
        <v>832</v>
      </c>
      <c r="C8" s="273" t="s">
        <v>833</v>
      </c>
      <c r="D8" s="273" t="s">
        <v>834</v>
      </c>
      <c r="E8" s="273" t="s">
        <v>835</v>
      </c>
      <c r="F8" s="273" t="s">
        <v>836</v>
      </c>
      <c r="G8" s="273" t="s">
        <v>837</v>
      </c>
    </row>
    <row r="9">
      <c r="A9" s="273" t="s">
        <v>838</v>
      </c>
      <c r="B9" s="273" t="s">
        <v>839</v>
      </c>
      <c r="C9" s="273" t="s">
        <v>840</v>
      </c>
      <c r="D9" s="273" t="s">
        <v>841</v>
      </c>
      <c r="E9" s="273" t="s">
        <v>842</v>
      </c>
      <c r="F9" s="273" t="s">
        <v>843</v>
      </c>
      <c r="G9" s="273" t="s">
        <v>844</v>
      </c>
    </row>
    <row r="10">
      <c r="A10" s="273" t="s">
        <v>845</v>
      </c>
      <c r="B10" s="273" t="s">
        <v>846</v>
      </c>
      <c r="C10" s="273" t="s">
        <v>847</v>
      </c>
      <c r="D10" s="273" t="s">
        <v>841</v>
      </c>
      <c r="E10" s="273" t="s">
        <v>848</v>
      </c>
      <c r="F10" s="273" t="s">
        <v>801</v>
      </c>
      <c r="G10" s="273" t="s">
        <v>849</v>
      </c>
    </row>
    <row r="11">
      <c r="A11" s="273" t="s">
        <v>850</v>
      </c>
      <c r="B11" s="273" t="s">
        <v>851</v>
      </c>
      <c r="C11" s="273" t="s">
        <v>852</v>
      </c>
      <c r="D11" s="273" t="s">
        <v>841</v>
      </c>
      <c r="E11" s="273" t="s">
        <v>853</v>
      </c>
      <c r="F11" s="273" t="s">
        <v>801</v>
      </c>
      <c r="G11" s="273" t="s">
        <v>854</v>
      </c>
    </row>
    <row r="12">
      <c r="A12" s="273" t="s">
        <v>855</v>
      </c>
      <c r="B12" s="273" t="s">
        <v>856</v>
      </c>
      <c r="C12" s="273" t="s">
        <v>857</v>
      </c>
      <c r="D12" s="273" t="s">
        <v>858</v>
      </c>
      <c r="E12" s="273" t="s">
        <v>859</v>
      </c>
      <c r="F12" s="273" t="s">
        <v>829</v>
      </c>
      <c r="G12" s="273" t="s">
        <v>860</v>
      </c>
    </row>
    <row r="13">
      <c r="A13" s="273" t="s">
        <v>861</v>
      </c>
      <c r="B13" s="273" t="s">
        <v>862</v>
      </c>
      <c r="C13" s="273" t="s">
        <v>863</v>
      </c>
      <c r="D13" s="273" t="s">
        <v>841</v>
      </c>
      <c r="E13" s="273" t="s">
        <v>864</v>
      </c>
      <c r="F13" s="273" t="s">
        <v>865</v>
      </c>
      <c r="G13" s="273" t="s">
        <v>866</v>
      </c>
    </row>
    <row r="14">
      <c r="A14" s="273" t="s">
        <v>867</v>
      </c>
      <c r="B14" s="273" t="s">
        <v>868</v>
      </c>
      <c r="C14" s="273" t="s">
        <v>869</v>
      </c>
      <c r="D14" s="273" t="s">
        <v>870</v>
      </c>
      <c r="E14" s="273" t="s">
        <v>871</v>
      </c>
      <c r="F14" s="273" t="s">
        <v>872</v>
      </c>
      <c r="G14" s="273" t="s">
        <v>873</v>
      </c>
    </row>
    <row r="15">
      <c r="A15" s="273" t="s">
        <v>874</v>
      </c>
      <c r="B15" s="273" t="s">
        <v>875</v>
      </c>
      <c r="C15" s="273" t="s">
        <v>876</v>
      </c>
      <c r="D15" s="273" t="s">
        <v>877</v>
      </c>
      <c r="E15" s="273" t="s">
        <v>878</v>
      </c>
      <c r="F15" s="273" t="s">
        <v>879</v>
      </c>
      <c r="G15" s="273" t="s">
        <v>880</v>
      </c>
    </row>
    <row r="16">
      <c r="A16" s="273" t="s">
        <v>881</v>
      </c>
      <c r="B16" s="273" t="s">
        <v>882</v>
      </c>
      <c r="C16" s="273" t="s">
        <v>883</v>
      </c>
      <c r="D16" s="273" t="s">
        <v>884</v>
      </c>
      <c r="E16" s="273" t="s">
        <v>885</v>
      </c>
      <c r="F16" s="273" t="s">
        <v>813</v>
      </c>
      <c r="G16" s="273" t="s">
        <v>886</v>
      </c>
    </row>
    <row r="17">
      <c r="A17" s="273" t="s">
        <v>887</v>
      </c>
      <c r="B17" s="273" t="s">
        <v>888</v>
      </c>
      <c r="C17" s="273" t="s">
        <v>889</v>
      </c>
      <c r="D17" s="273" t="s">
        <v>890</v>
      </c>
      <c r="E17" s="273" t="s">
        <v>891</v>
      </c>
      <c r="F17" s="273" t="s">
        <v>892</v>
      </c>
      <c r="G17" s="273" t="s">
        <v>893</v>
      </c>
    </row>
    <row r="18">
      <c r="A18" s="273" t="s">
        <v>894</v>
      </c>
      <c r="B18" s="273" t="s">
        <v>895</v>
      </c>
      <c r="C18" s="273" t="s">
        <v>896</v>
      </c>
      <c r="D18" s="273" t="s">
        <v>897</v>
      </c>
      <c r="E18" s="273" t="s">
        <v>898</v>
      </c>
      <c r="F18" s="273" t="s">
        <v>899</v>
      </c>
      <c r="G18" s="273" t="s">
        <v>900</v>
      </c>
    </row>
    <row r="19">
      <c r="A19" s="273" t="s">
        <v>901</v>
      </c>
      <c r="B19" s="273" t="s">
        <v>902</v>
      </c>
      <c r="C19" s="273" t="s">
        <v>903</v>
      </c>
      <c r="D19" s="273" t="s">
        <v>904</v>
      </c>
      <c r="E19" s="273" t="s">
        <v>905</v>
      </c>
      <c r="F19" s="273" t="s">
        <v>899</v>
      </c>
      <c r="G19" s="273" t="s">
        <v>906</v>
      </c>
    </row>
    <row r="20">
      <c r="A20" s="273" t="s">
        <v>907</v>
      </c>
      <c r="B20" s="273" t="s">
        <v>908</v>
      </c>
      <c r="C20" s="273" t="s">
        <v>909</v>
      </c>
      <c r="D20" s="273" t="s">
        <v>910</v>
      </c>
      <c r="E20" s="273" t="s">
        <v>911</v>
      </c>
      <c r="F20" s="273" t="s">
        <v>801</v>
      </c>
      <c r="G20" s="273" t="s">
        <v>912</v>
      </c>
    </row>
    <row r="21">
      <c r="A21" s="273" t="s">
        <v>913</v>
      </c>
      <c r="B21" s="273" t="s">
        <v>913</v>
      </c>
      <c r="C21" s="273" t="s">
        <v>913</v>
      </c>
      <c r="D21" s="273" t="s">
        <v>913</v>
      </c>
      <c r="E21" s="273" t="s">
        <v>913</v>
      </c>
      <c r="F21" s="273" t="s">
        <v>913</v>
      </c>
      <c r="G21" s="273" t="s">
        <v>913</v>
      </c>
    </row>
    <row r="22">
      <c r="A22" s="273" t="s">
        <v>913</v>
      </c>
      <c r="B22" s="273" t="s">
        <v>913</v>
      </c>
      <c r="C22" s="273" t="s">
        <v>913</v>
      </c>
      <c r="D22" s="273" t="s">
        <v>913</v>
      </c>
      <c r="E22" s="273" t="s">
        <v>913</v>
      </c>
      <c r="F22" s="273" t="s">
        <v>913</v>
      </c>
      <c r="G22" s="273" t="s">
        <v>913</v>
      </c>
    </row>
    <row r="23">
      <c r="A23" s="273" t="s">
        <v>913</v>
      </c>
      <c r="B23" s="273" t="s">
        <v>913</v>
      </c>
      <c r="C23" s="273" t="s">
        <v>913</v>
      </c>
      <c r="D23" s="273" t="s">
        <v>913</v>
      </c>
      <c r="E23" s="273" t="s">
        <v>913</v>
      </c>
      <c r="F23" s="273" t="s">
        <v>913</v>
      </c>
      <c r="G23" s="273" t="s">
        <v>913</v>
      </c>
    </row>
  </sheetData>
  <picture r:id="rId1"/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C2" xSplit="2" ySplit="1"/>
    </sheetView>
  </sheetViews>
  <sheetFormatPr defaultRowHeight="0"/>
  <cols>
    <col collapsed="false" customWidth="true" hidden="false" max="15" min="15" style="0" width="15.154929577464788"/>
    <col collapsed="false" customWidth="true" hidden="false" max="18" min="18" style="0" width="29.802816901408452"/>
    <col collapsed="false" customWidth="true" hidden="false" max="3" min="3" style="0" width="15.154929577464788"/>
    <col collapsed="false" customWidth="true" hidden="false" max="7" min="7" style="0" width="15.154929577464788"/>
    <col collapsed="false" customWidth="true" hidden="false" max="11" min="11" style="0" width="15.154929577464788"/>
    <col collapsed="false" customWidth="true" hidden="false" max="14" min="14" style="0" width="15.154929577464788"/>
    <col collapsed="false" customWidth="true" hidden="false" max="17" min="17" style="0" width="29.802816901408452"/>
    <col collapsed="false" customWidth="true" hidden="false" max="2" min="2" style="0" width="28.676056338028168"/>
    <col collapsed="false" customWidth="true" hidden="false" max="6" min="6" style="0" width="15.154929577464788"/>
    <col collapsed="false" customWidth="true" hidden="false" max="10" min="10" style="0" width="15.154929577464788"/>
    <col collapsed="false" customWidth="true" hidden="false" max="13" min="13" style="0" width="15.154929577464788"/>
    <col collapsed="false" customWidth="true" hidden="false" max="20" min="20" style="0" width="29.802816901408452"/>
    <col collapsed="false" customWidth="true" hidden="false" max="1" min="1" style="0" width="15.154929577464788"/>
    <col collapsed="false" customWidth="true" hidden="false" max="5" min="5" style="0" width="15.154929577464788"/>
    <col collapsed="false" customWidth="true" hidden="false" max="9" min="9" style="0" width="15.154929577464788"/>
    <col collapsed="false" customWidth="true" hidden="false" max="16" min="16" style="0" width="15.154929577464788"/>
    <col collapsed="false" customWidth="true" hidden="false" max="19" min="19" style="0" width="29.802816901408452"/>
    <col collapsed="false" customWidth="true" hidden="false" max="4" min="4" style="0" width="15.154929577464788"/>
    <col collapsed="false" customWidth="true" hidden="false" max="8" min="8" style="0" width="15.154929577464788"/>
    <col collapsed="false" customWidth="true" hidden="false" max="12" min="12" style="0" width="15.154929577464788"/>
  </cols>
  <sheetData>
    <row r="1">
      <c r="A1" s="274" t="s">
        <v>914</v>
      </c>
      <c r="B1" s="274" t="s">
        <v>915</v>
      </c>
      <c r="C1" s="274" t="s">
        <v>916</v>
      </c>
      <c r="D1" s="274" t="s">
        <v>917</v>
      </c>
      <c r="E1" s="274" t="s">
        <v>918</v>
      </c>
      <c r="F1" s="274" t="s">
        <v>919</v>
      </c>
      <c r="G1" s="274" t="s">
        <v>920</v>
      </c>
      <c r="H1" s="274" t="s">
        <v>921</v>
      </c>
      <c r="I1" s="274" t="s">
        <v>922</v>
      </c>
      <c r="J1" s="274" t="s">
        <v>923</v>
      </c>
      <c r="K1" s="274" t="s">
        <v>924</v>
      </c>
      <c r="L1" s="274" t="s">
        <v>925</v>
      </c>
      <c r="M1" s="274" t="s">
        <v>926</v>
      </c>
      <c r="N1" s="274" t="s">
        <v>927</v>
      </c>
      <c r="O1" s="274" t="s">
        <v>928</v>
      </c>
      <c r="P1" s="274" t="s">
        <v>929</v>
      </c>
      <c r="Q1" s="274" t="s">
        <v>930</v>
      </c>
      <c r="R1" s="274" t="s">
        <v>931</v>
      </c>
      <c r="S1" s="274" t="s">
        <v>932</v>
      </c>
      <c r="T1" s="274" t="s">
        <v>933</v>
      </c>
    </row>
    <row r="2">
      <c r="A2" s="275" t="s">
        <v>934</v>
      </c>
      <c r="B2" s="275" t="s">
        <v>935</v>
      </c>
      <c r="C2" s="275" t="s">
        <v>936</v>
      </c>
      <c r="D2" s="276">
        <v>100</v>
      </c>
      <c r="E2" s="276">
        <v>500</v>
      </c>
      <c r="F2" s="276">
        <v>0.5</v>
      </c>
      <c r="G2" s="276">
        <v>0.5</v>
      </c>
      <c r="H2" s="276">
        <v>0</v>
      </c>
      <c r="I2" s="276">
        <v>2000</v>
      </c>
      <c r="J2" s="276">
        <v>10000</v>
      </c>
      <c r="K2" s="276">
        <v>500</v>
      </c>
      <c r="L2" s="277">
        <f t="shared" ref="L2:L19" si="0">IF(C2="A",(E2-D2)*F2,IF(C2="C_PRO",E2-H2*F2,E2))</f>
      </c>
      <c r="M2" s="277">
        <v>200</v>
      </c>
      <c r="N2" s="277">
        <f t="shared" ref="N2:N19" si="1">IF(C2="A",(J2-I2)*G2,IF(C2="B",0,J2))</f>
      </c>
      <c r="O2" s="277">
        <v>4000</v>
      </c>
      <c r="P2" s="278">
        <f t="shared" ref="P2:P19" si="2">IF(AND(ABS(L2-M2)&lt;1E-8,ABS(N2-O2)&lt;1E-8),"通过","失败")</f>
      </c>
      <c r="Q2" s="275" t="s">
        <v>937</v>
      </c>
      <c r="R2" s="275" t="s">
        <v>938</v>
      </c>
      <c r="S2" s="275" t="s">
        <v>939</v>
      </c>
      <c r="T2" s="275" t="s">
        <v>940</v>
      </c>
    </row>
    <row r="3">
      <c r="A3" s="275" t="s">
        <v>941</v>
      </c>
      <c r="B3" s="275" t="s">
        <v>942</v>
      </c>
      <c r="C3" s="275" t="s">
        <v>936</v>
      </c>
      <c r="D3" s="276">
        <v>200</v>
      </c>
      <c r="E3" s="276">
        <v>300</v>
      </c>
      <c r="F3" s="276">
        <v>0.5</v>
      </c>
      <c r="G3" s="276">
        <v>0.5</v>
      </c>
      <c r="H3" s="276">
        <v>200</v>
      </c>
      <c r="I3" s="276">
        <v>1000</v>
      </c>
      <c r="J3" s="276">
        <v>3000</v>
      </c>
      <c r="K3" s="276">
        <v>500</v>
      </c>
      <c r="L3" s="277">
        <f t="shared" si="0"/>
      </c>
      <c r="M3" s="277">
        <v>50</v>
      </c>
      <c r="N3" s="277">
        <f t="shared" si="1"/>
      </c>
      <c r="O3" s="277">
        <v>1000</v>
      </c>
      <c r="P3" s="278">
        <f t="shared" si="2"/>
      </c>
      <c r="Q3" s="275" t="s">
        <v>937</v>
      </c>
      <c r="R3" s="275" t="s">
        <v>938</v>
      </c>
      <c r="S3" s="275" t="s">
        <v>939</v>
      </c>
      <c r="T3" s="275" t="s">
        <v>940</v>
      </c>
    </row>
    <row r="4">
      <c r="A4" s="275" t="s">
        <v>943</v>
      </c>
      <c r="B4" s="275" t="s">
        <v>944</v>
      </c>
      <c r="C4" s="275" t="s">
        <v>936</v>
      </c>
      <c r="D4" s="276">
        <v>100</v>
      </c>
      <c r="E4" s="276">
        <v>300</v>
      </c>
      <c r="F4" s="276">
        <v>0.5</v>
      </c>
      <c r="G4" s="276">
        <v>0.5</v>
      </c>
      <c r="H4" s="276">
        <v>0</v>
      </c>
      <c r="I4" s="276">
        <v>2000</v>
      </c>
      <c r="J4" s="276">
        <v>3000</v>
      </c>
      <c r="K4" s="276">
        <v>500</v>
      </c>
      <c r="L4" s="277">
        <f t="shared" si="0"/>
      </c>
      <c r="M4" s="277">
        <v>100</v>
      </c>
      <c r="N4" s="277">
        <f t="shared" si="1"/>
      </c>
      <c r="O4" s="277">
        <v>500</v>
      </c>
      <c r="P4" s="278">
        <f t="shared" si="2"/>
      </c>
      <c r="Q4" s="275" t="s">
        <v>937</v>
      </c>
      <c r="R4" s="275" t="s">
        <v>938</v>
      </c>
      <c r="S4" s="275" t="s">
        <v>939</v>
      </c>
      <c r="T4" s="275" t="s">
        <v>940</v>
      </c>
    </row>
    <row r="5">
      <c r="A5" s="275" t="s">
        <v>945</v>
      </c>
      <c r="B5" s="275" t="s">
        <v>946</v>
      </c>
      <c r="C5" s="275" t="s">
        <v>936</v>
      </c>
      <c r="D5" s="276">
        <v>960</v>
      </c>
      <c r="E5" s="276">
        <v>4800</v>
      </c>
      <c r="F5" s="276">
        <v>0.25</v>
      </c>
      <c r="G5" s="276">
        <v>0.5</v>
      </c>
      <c r="H5" s="276">
        <v>0</v>
      </c>
      <c r="I5" s="276">
        <v>2000</v>
      </c>
      <c r="J5" s="276">
        <v>10000</v>
      </c>
      <c r="K5" s="276">
        <v>500</v>
      </c>
      <c r="L5" s="277">
        <f t="shared" si="0"/>
      </c>
      <c r="M5" s="277">
        <v>960</v>
      </c>
      <c r="N5" s="277">
        <f t="shared" si="1"/>
      </c>
      <c r="O5" s="277">
        <v>4000</v>
      </c>
      <c r="P5" s="278">
        <f t="shared" si="2"/>
      </c>
      <c r="Q5" s="275" t="s">
        <v>937</v>
      </c>
      <c r="R5" s="275" t="s">
        <v>938</v>
      </c>
      <c r="S5" s="275" t="s">
        <v>939</v>
      </c>
      <c r="T5" s="275" t="s">
        <v>940</v>
      </c>
    </row>
    <row r="6">
      <c r="A6" s="275" t="s">
        <v>947</v>
      </c>
      <c r="B6" s="275" t="s">
        <v>948</v>
      </c>
      <c r="C6" s="275" t="s">
        <v>936</v>
      </c>
      <c r="D6" s="276">
        <v>1920</v>
      </c>
      <c r="E6" s="276">
        <v>2880</v>
      </c>
      <c r="F6" s="276">
        <v>0.25</v>
      </c>
      <c r="G6" s="276">
        <v>0.5</v>
      </c>
      <c r="H6" s="276">
        <v>0</v>
      </c>
      <c r="I6" s="276">
        <v>1000</v>
      </c>
      <c r="J6" s="276">
        <v>3000</v>
      </c>
      <c r="K6" s="276">
        <v>500</v>
      </c>
      <c r="L6" s="277">
        <f t="shared" si="0"/>
      </c>
      <c r="M6" s="277">
        <v>240</v>
      </c>
      <c r="N6" s="277">
        <f t="shared" si="1"/>
      </c>
      <c r="O6" s="277">
        <v>1000</v>
      </c>
      <c r="P6" s="278">
        <f t="shared" si="2"/>
      </c>
      <c r="Q6" s="275" t="s">
        <v>937</v>
      </c>
      <c r="R6" s="275" t="s">
        <v>938</v>
      </c>
      <c r="S6" s="275" t="s">
        <v>939</v>
      </c>
      <c r="T6" s="275" t="s">
        <v>940</v>
      </c>
    </row>
    <row r="7">
      <c r="A7" s="275" t="s">
        <v>949</v>
      </c>
      <c r="B7" s="275" t="s">
        <v>950</v>
      </c>
      <c r="C7" s="275" t="s">
        <v>936</v>
      </c>
      <c r="D7" s="276">
        <v>960</v>
      </c>
      <c r="E7" s="276">
        <v>2880</v>
      </c>
      <c r="F7" s="276">
        <v>0.25</v>
      </c>
      <c r="G7" s="276">
        <v>0.5</v>
      </c>
      <c r="H7" s="276">
        <v>0</v>
      </c>
      <c r="I7" s="276">
        <v>2000</v>
      </c>
      <c r="J7" s="276">
        <v>3000</v>
      </c>
      <c r="K7" s="276">
        <v>500</v>
      </c>
      <c r="L7" s="277">
        <f t="shared" si="0"/>
      </c>
      <c r="M7" s="277">
        <v>480</v>
      </c>
      <c r="N7" s="277">
        <f t="shared" si="1"/>
      </c>
      <c r="O7" s="277">
        <v>500</v>
      </c>
      <c r="P7" s="278">
        <f t="shared" si="2"/>
      </c>
      <c r="Q7" s="275" t="s">
        <v>937</v>
      </c>
      <c r="R7" s="275" t="s">
        <v>938</v>
      </c>
      <c r="S7" s="275" t="s">
        <v>939</v>
      </c>
      <c r="T7" s="275" t="s">
        <v>940</v>
      </c>
    </row>
    <row r="8">
      <c r="A8" s="275" t="s">
        <v>951</v>
      </c>
      <c r="B8" s="275" t="s">
        <v>952</v>
      </c>
      <c r="C8" s="275" t="s">
        <v>953</v>
      </c>
      <c r="D8" s="276">
        <v>100</v>
      </c>
      <c r="E8" s="276">
        <v>960</v>
      </c>
      <c r="F8" s="276">
        <v>0.5</v>
      </c>
      <c r="G8" s="276">
        <v>0.5</v>
      </c>
      <c r="H8" s="276">
        <v>0</v>
      </c>
      <c r="I8" s="276">
        <v>2000</v>
      </c>
      <c r="J8" s="276">
        <v>2000</v>
      </c>
      <c r="K8" s="276">
        <v>500</v>
      </c>
      <c r="L8" s="277">
        <f t="shared" si="0"/>
      </c>
      <c r="M8" s="277">
        <v>960</v>
      </c>
      <c r="N8" s="277">
        <f t="shared" si="1"/>
      </c>
      <c r="O8" s="277">
        <v>0</v>
      </c>
      <c r="P8" s="278">
        <f t="shared" si="2"/>
      </c>
      <c r="Q8" s="275" t="s">
        <v>954</v>
      </c>
      <c r="R8" s="275" t="s">
        <v>938</v>
      </c>
      <c r="S8" s="275" t="s">
        <v>939</v>
      </c>
      <c r="T8" s="275" t="s">
        <v>940</v>
      </c>
    </row>
    <row r="9">
      <c r="A9" s="275" t="s">
        <v>955</v>
      </c>
      <c r="B9" s="275" t="s">
        <v>956</v>
      </c>
      <c r="C9" s="275" t="s">
        <v>953</v>
      </c>
      <c r="D9" s="276">
        <v>200</v>
      </c>
      <c r="E9" s="276">
        <v>1920</v>
      </c>
      <c r="F9" s="276">
        <v>0.5</v>
      </c>
      <c r="G9" s="276">
        <v>0.5</v>
      </c>
      <c r="H9" s="276">
        <v>200</v>
      </c>
      <c r="I9" s="276">
        <v>1000</v>
      </c>
      <c r="J9" s="276">
        <v>1000</v>
      </c>
      <c r="K9" s="276">
        <v>500</v>
      </c>
      <c r="L9" s="277">
        <f t="shared" si="0"/>
      </c>
      <c r="M9" s="277">
        <v>1920</v>
      </c>
      <c r="N9" s="277">
        <f t="shared" si="1"/>
      </c>
      <c r="O9" s="277">
        <v>0</v>
      </c>
      <c r="P9" s="278">
        <f t="shared" si="2"/>
      </c>
      <c r="Q9" s="275" t="s">
        <v>954</v>
      </c>
      <c r="R9" s="275" t="s">
        <v>938</v>
      </c>
      <c r="S9" s="275" t="s">
        <v>939</v>
      </c>
      <c r="T9" s="275" t="s">
        <v>940</v>
      </c>
    </row>
    <row r="10">
      <c r="A10" s="275" t="s">
        <v>957</v>
      </c>
      <c r="B10" s="275" t="s">
        <v>958</v>
      </c>
      <c r="C10" s="275" t="s">
        <v>959</v>
      </c>
      <c r="D10" s="276">
        <v>100</v>
      </c>
      <c r="E10" s="276">
        <v>4800</v>
      </c>
      <c r="F10" s="276">
        <v>0.5</v>
      </c>
      <c r="G10" s="276">
        <v>0.5</v>
      </c>
      <c r="H10" s="276">
        <v>0</v>
      </c>
      <c r="I10" s="276">
        <v>2000</v>
      </c>
      <c r="J10" s="276">
        <v>10000</v>
      </c>
      <c r="K10" s="276">
        <v>500</v>
      </c>
      <c r="L10" s="277">
        <f t="shared" si="0"/>
      </c>
      <c r="M10" s="277">
        <v>4800</v>
      </c>
      <c r="N10" s="277">
        <f t="shared" si="1"/>
      </c>
      <c r="O10" s="277">
        <v>10000</v>
      </c>
      <c r="P10" s="278">
        <f t="shared" si="2"/>
      </c>
      <c r="Q10" s="275" t="s">
        <v>960</v>
      </c>
      <c r="R10" s="275" t="s">
        <v>961</v>
      </c>
      <c r="S10" s="275" t="s">
        <v>939</v>
      </c>
      <c r="T10" s="275" t="s">
        <v>940</v>
      </c>
    </row>
    <row r="11">
      <c r="A11" s="275" t="s">
        <v>962</v>
      </c>
      <c r="B11" s="275" t="s">
        <v>963</v>
      </c>
      <c r="C11" s="275" t="s">
        <v>964</v>
      </c>
      <c r="D11" s="276">
        <v>200</v>
      </c>
      <c r="E11" s="276">
        <v>2880</v>
      </c>
      <c r="F11" s="276">
        <v>0.5</v>
      </c>
      <c r="G11" s="276">
        <v>0.5</v>
      </c>
      <c r="H11" s="276">
        <v>200</v>
      </c>
      <c r="I11" s="276">
        <v>1000</v>
      </c>
      <c r="J11" s="276">
        <v>3000</v>
      </c>
      <c r="K11" s="276">
        <v>500</v>
      </c>
      <c r="L11" s="277">
        <f t="shared" si="0"/>
      </c>
      <c r="M11" s="277">
        <v>2780</v>
      </c>
      <c r="N11" s="277">
        <f t="shared" si="1"/>
      </c>
      <c r="O11" s="277">
        <v>3000</v>
      </c>
      <c r="P11" s="278">
        <f t="shared" si="2"/>
      </c>
      <c r="Q11" s="275" t="s">
        <v>960</v>
      </c>
      <c r="R11" s="275" t="s">
        <v>961</v>
      </c>
      <c r="S11" s="275" t="s">
        <v>939</v>
      </c>
      <c r="T11" s="275" t="s">
        <v>940</v>
      </c>
    </row>
    <row r="12">
      <c r="A12" s="275" t="s">
        <v>965</v>
      </c>
      <c r="B12" s="275" t="s">
        <v>966</v>
      </c>
      <c r="C12" s="275" t="s">
        <v>959</v>
      </c>
      <c r="D12" s="276">
        <v>100</v>
      </c>
      <c r="E12" s="276">
        <v>2880</v>
      </c>
      <c r="F12" s="276">
        <v>0.5</v>
      </c>
      <c r="G12" s="276">
        <v>0.5</v>
      </c>
      <c r="H12" s="276">
        <v>0</v>
      </c>
      <c r="I12" s="276">
        <v>2000</v>
      </c>
      <c r="J12" s="276">
        <v>3000</v>
      </c>
      <c r="K12" s="276">
        <v>500</v>
      </c>
      <c r="L12" s="277">
        <f t="shared" si="0"/>
      </c>
      <c r="M12" s="277">
        <v>2880</v>
      </c>
      <c r="N12" s="277">
        <f t="shared" si="1"/>
      </c>
      <c r="O12" s="277">
        <v>3000</v>
      </c>
      <c r="P12" s="278">
        <f t="shared" si="2"/>
      </c>
      <c r="Q12" s="275" t="s">
        <v>960</v>
      </c>
      <c r="R12" s="275" t="s">
        <v>961</v>
      </c>
      <c r="S12" s="275" t="s">
        <v>939</v>
      </c>
      <c r="T12" s="275" t="s">
        <v>940</v>
      </c>
    </row>
    <row r="13">
      <c r="A13" s="275" t="s">
        <v>967</v>
      </c>
      <c r="B13" s="275" t="s">
        <v>968</v>
      </c>
      <c r="C13" s="275" t="s">
        <v>936</v>
      </c>
      <c r="D13" s="276">
        <v>500</v>
      </c>
      <c r="E13" s="276">
        <v>1000</v>
      </c>
      <c r="F13" s="276">
        <v>0.25</v>
      </c>
      <c r="G13" s="276">
        <v>0.25</v>
      </c>
      <c r="H13" s="276">
        <v>0</v>
      </c>
      <c r="I13" s="276">
        <v>10000</v>
      </c>
      <c r="J13" s="276">
        <v>20000</v>
      </c>
      <c r="K13" s="276">
        <v>0</v>
      </c>
      <c r="L13" s="277">
        <f t="shared" si="0"/>
      </c>
      <c r="M13" s="277">
        <v>125</v>
      </c>
      <c r="N13" s="277">
        <f t="shared" si="1"/>
      </c>
      <c r="O13" s="277">
        <v>2500</v>
      </c>
      <c r="P13" s="278">
        <f t="shared" si="2"/>
      </c>
      <c r="Q13" s="275" t="s">
        <v>937</v>
      </c>
      <c r="R13" s="275" t="s">
        <v>938</v>
      </c>
      <c r="S13" s="275" t="s">
        <v>939</v>
      </c>
      <c r="T13" s="275" t="s">
        <v>940</v>
      </c>
    </row>
    <row r="14">
      <c r="A14" s="275" t="s">
        <v>969</v>
      </c>
      <c r="B14" s="275" t="s">
        <v>970</v>
      </c>
      <c r="C14" s="275" t="s">
        <v>936</v>
      </c>
      <c r="D14" s="276">
        <v>100</v>
      </c>
      <c r="E14" s="276">
        <v>300</v>
      </c>
      <c r="F14" s="276">
        <v>1</v>
      </c>
      <c r="G14" s="276">
        <v>1</v>
      </c>
      <c r="H14" s="276">
        <v>0</v>
      </c>
      <c r="I14" s="276">
        <v>2000</v>
      </c>
      <c r="J14" s="276">
        <v>3000</v>
      </c>
      <c r="K14" s="276">
        <v>2000</v>
      </c>
      <c r="L14" s="277">
        <f t="shared" si="0"/>
      </c>
      <c r="M14" s="277">
        <v>200</v>
      </c>
      <c r="N14" s="277">
        <f t="shared" si="1"/>
      </c>
      <c r="O14" s="277">
        <v>1000</v>
      </c>
      <c r="P14" s="278">
        <f t="shared" si="2"/>
      </c>
      <c r="Q14" s="275" t="s">
        <v>937</v>
      </c>
      <c r="R14" s="275" t="s">
        <v>938</v>
      </c>
      <c r="S14" s="275" t="s">
        <v>939</v>
      </c>
      <c r="T14" s="275" t="s">
        <v>940</v>
      </c>
    </row>
    <row r="15">
      <c r="A15" s="275" t="s">
        <v>971</v>
      </c>
      <c r="B15" s="275" t="s">
        <v>972</v>
      </c>
      <c r="C15" s="275" t="s">
        <v>936</v>
      </c>
      <c r="D15" s="276">
        <v>100</v>
      </c>
      <c r="E15" s="276">
        <v>300</v>
      </c>
      <c r="F15" s="276">
        <v>0</v>
      </c>
      <c r="G15" s="276">
        <v>0</v>
      </c>
      <c r="H15" s="276">
        <v>0</v>
      </c>
      <c r="I15" s="276">
        <v>2000</v>
      </c>
      <c r="J15" s="276">
        <v>3000</v>
      </c>
      <c r="K15" s="276">
        <v>0</v>
      </c>
      <c r="L15" s="277">
        <f t="shared" si="0"/>
      </c>
      <c r="M15" s="277">
        <v>0</v>
      </c>
      <c r="N15" s="277">
        <f t="shared" si="1"/>
      </c>
      <c r="O15" s="277">
        <v>0</v>
      </c>
      <c r="P15" s="278">
        <f t="shared" si="2"/>
      </c>
      <c r="Q15" s="275" t="s">
        <v>937</v>
      </c>
      <c r="R15" s="275" t="s">
        <v>938</v>
      </c>
      <c r="S15" s="275" t="s">
        <v>939</v>
      </c>
      <c r="T15" s="275" t="s">
        <v>940</v>
      </c>
    </row>
    <row r="16">
      <c r="A16" s="275" t="s">
        <v>973</v>
      </c>
      <c r="B16" s="275" t="s">
        <v>974</v>
      </c>
      <c r="C16" s="275" t="s">
        <v>936</v>
      </c>
      <c r="D16" s="276">
        <v>100</v>
      </c>
      <c r="E16" s="276">
        <v>300</v>
      </c>
      <c r="F16" s="276">
        <v>0.5</v>
      </c>
      <c r="G16" s="276">
        <v>0.5</v>
      </c>
      <c r="H16" s="276">
        <v>0</v>
      </c>
      <c r="I16" s="276">
        <v>2000</v>
      </c>
      <c r="J16" s="276">
        <v>3000</v>
      </c>
      <c r="K16" s="276">
        <v>0</v>
      </c>
      <c r="L16" s="277">
        <f t="shared" si="0"/>
      </c>
      <c r="M16" s="277">
        <v>100</v>
      </c>
      <c r="N16" s="277">
        <f t="shared" si="1"/>
      </c>
      <c r="O16" s="277">
        <v>500</v>
      </c>
      <c r="P16" s="278">
        <f t="shared" si="2"/>
      </c>
      <c r="Q16" s="275" t="s">
        <v>937</v>
      </c>
      <c r="R16" s="275" t="s">
        <v>938</v>
      </c>
      <c r="S16" s="275" t="s">
        <v>939</v>
      </c>
      <c r="T16" s="275" t="s">
        <v>940</v>
      </c>
    </row>
    <row r="17">
      <c r="A17" s="275" t="s">
        <v>975</v>
      </c>
      <c r="B17" s="275" t="s">
        <v>976</v>
      </c>
      <c r="C17" s="275" t="s">
        <v>964</v>
      </c>
      <c r="D17" s="276">
        <v>300</v>
      </c>
      <c r="E17" s="276">
        <v>6720</v>
      </c>
      <c r="F17" s="276">
        <v>0.5</v>
      </c>
      <c r="G17" s="276">
        <v>0.5</v>
      </c>
      <c r="H17" s="276">
        <v>200</v>
      </c>
      <c r="I17" s="276">
        <v>3000</v>
      </c>
      <c r="J17" s="276">
        <v>11000</v>
      </c>
      <c r="K17" s="276">
        <v>1600</v>
      </c>
      <c r="L17" s="277">
        <f t="shared" si="0"/>
      </c>
      <c r="M17" s="277">
        <v>6620</v>
      </c>
      <c r="N17" s="277">
        <f t="shared" si="1"/>
      </c>
      <c r="O17" s="277">
        <v>11000</v>
      </c>
      <c r="P17" s="278">
        <f t="shared" si="2"/>
      </c>
      <c r="Q17" s="275" t="s">
        <v>960</v>
      </c>
      <c r="R17" s="275" t="s">
        <v>977</v>
      </c>
      <c r="S17" s="275" t="s">
        <v>939</v>
      </c>
      <c r="T17" s="275" t="s">
        <v>940</v>
      </c>
    </row>
    <row r="18">
      <c r="A18" s="275" t="s">
        <v>978</v>
      </c>
      <c r="B18" s="275" t="s">
        <v>979</v>
      </c>
      <c r="C18" s="275" t="s">
        <v>964</v>
      </c>
      <c r="D18" s="276">
        <v>300</v>
      </c>
      <c r="E18" s="276">
        <v>6720</v>
      </c>
      <c r="F18" s="276">
        <v>0.5</v>
      </c>
      <c r="G18" s="276">
        <v>0.5</v>
      </c>
      <c r="H18" s="276">
        <v>200</v>
      </c>
      <c r="I18" s="276">
        <v>3000</v>
      </c>
      <c r="J18" s="276">
        <v>11000</v>
      </c>
      <c r="K18" s="276">
        <v>0</v>
      </c>
      <c r="L18" s="277">
        <f t="shared" si="0"/>
      </c>
      <c r="M18" s="277">
        <v>6620</v>
      </c>
      <c r="N18" s="277">
        <f t="shared" si="1"/>
      </c>
      <c r="O18" s="277">
        <v>11000</v>
      </c>
      <c r="P18" s="278">
        <f t="shared" si="2"/>
      </c>
      <c r="Q18" s="275" t="s">
        <v>960</v>
      </c>
      <c r="R18" s="275" t="s">
        <v>980</v>
      </c>
      <c r="S18" s="275" t="s">
        <v>939</v>
      </c>
      <c r="T18" s="275" t="s">
        <v>940</v>
      </c>
    </row>
    <row r="19">
      <c r="A19" s="275" t="s">
        <v>981</v>
      </c>
      <c r="B19" s="275" t="s">
        <v>982</v>
      </c>
      <c r="C19" s="275" t="s">
        <v>936</v>
      </c>
      <c r="D19" s="276">
        <v>960</v>
      </c>
      <c r="E19" s="276">
        <v>2880</v>
      </c>
      <c r="F19" s="276">
        <v>0.5</v>
      </c>
      <c r="G19" s="276">
        <v>0.25</v>
      </c>
      <c r="H19" s="276">
        <v>0</v>
      </c>
      <c r="I19" s="276">
        <v>2000</v>
      </c>
      <c r="J19" s="276">
        <v>3000</v>
      </c>
      <c r="K19" s="276">
        <v>500</v>
      </c>
      <c r="L19" s="277">
        <f t="shared" si="0"/>
      </c>
      <c r="M19" s="277">
        <v>960</v>
      </c>
      <c r="N19" s="277">
        <f t="shared" si="1"/>
      </c>
      <c r="O19" s="277">
        <v>250</v>
      </c>
      <c r="P19" s="278">
        <f t="shared" si="2"/>
      </c>
      <c r="Q19" s="275" t="s">
        <v>937</v>
      </c>
      <c r="R19" s="275" t="s">
        <v>938</v>
      </c>
      <c r="S19" s="275" t="s">
        <v>939</v>
      </c>
      <c r="T19" s="275" t="s">
        <v>940</v>
      </c>
    </row>
    <row r="20">
      <c r="A20" s="275"/>
      <c r="B20" s="275"/>
      <c r="C20" s="275"/>
      <c r="D20" s="275"/>
      <c r="E20" s="275"/>
      <c r="F20" s="275"/>
      <c r="G20" s="275"/>
      <c r="H20" s="275"/>
      <c r="I20" s="275"/>
      <c r="J20" s="275"/>
      <c r="K20" s="275"/>
      <c r="L20" s="275"/>
      <c r="M20" s="275"/>
      <c r="N20" s="275"/>
      <c r="O20" s="275"/>
      <c r="P20" s="275"/>
      <c r="Q20" s="275"/>
      <c r="R20" s="275"/>
      <c r="S20" s="275"/>
      <c r="T20" s="275"/>
    </row>
    <row r="21">
      <c r="A21" s="275" t="s">
        <v>983</v>
      </c>
      <c r="B21" s="275" t="s">
        <v>984</v>
      </c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</row>
    <row r="22">
      <c r="A22" s="275"/>
      <c r="B22" s="275"/>
      <c r="C22" s="275"/>
      <c r="D22" s="275"/>
      <c r="E22" s="275"/>
      <c r="F22" s="275"/>
      <c r="G22" s="275"/>
      <c r="H22" s="275"/>
      <c r="I22" s="275"/>
      <c r="J22" s="275"/>
      <c r="K22" s="275"/>
      <c r="L22" s="275"/>
      <c r="M22" s="275"/>
      <c r="N22" s="275"/>
      <c r="O22" s="275"/>
      <c r="P22" s="275"/>
      <c r="Q22" s="275"/>
      <c r="R22" s="275"/>
      <c r="S22" s="275"/>
      <c r="T22" s="275"/>
    </row>
    <row r="23">
      <c r="A23" s="274" t="s">
        <v>985</v>
      </c>
      <c r="B23" s="274" t="s">
        <v>986</v>
      </c>
      <c r="C23" s="274" t="s">
        <v>987</v>
      </c>
      <c r="D23" s="274" t="s">
        <v>988</v>
      </c>
      <c r="E23" s="274" t="s">
        <v>989</v>
      </c>
      <c r="F23" s="274" t="s">
        <v>990</v>
      </c>
      <c r="G23" s="274" t="s">
        <v>989</v>
      </c>
      <c r="H23" s="274" t="s">
        <v>991</v>
      </c>
      <c r="I23" s="274" t="s">
        <v>989</v>
      </c>
      <c r="J23" s="274" t="s">
        <v>992</v>
      </c>
      <c r="K23" s="274" t="s">
        <v>989</v>
      </c>
      <c r="L23" s="274" t="s">
        <v>993</v>
      </c>
      <c r="M23" s="274" t="s">
        <v>994</v>
      </c>
      <c r="N23" s="274" t="s">
        <v>995</v>
      </c>
      <c r="O23" s="274" t="s">
        <v>996</v>
      </c>
      <c r="P23" s="274" t="s">
        <v>997</v>
      </c>
      <c r="Q23" s="275"/>
      <c r="R23" s="275"/>
      <c r="S23" s="275"/>
      <c r="T23" s="275"/>
    </row>
    <row r="24">
      <c r="A24" s="275" t="s">
        <v>998</v>
      </c>
      <c r="B24" s="275" t="s">
        <v>999</v>
      </c>
      <c r="C24" s="279">
        <v>3</v>
      </c>
      <c r="D24" s="279">
        <f>'AI 权益'!$G$3</f>
      </c>
      <c r="E24" s="279" t="s">
        <v>1000</v>
      </c>
      <c r="F24" s="279">
        <f>'AI 权益'!$H$3</f>
      </c>
      <c r="G24" s="280" t="s">
        <v>1001</v>
      </c>
      <c r="H24" s="280">
        <f>'AI 权益'!$B$3</f>
      </c>
      <c r="I24" s="279">
        <v>4</v>
      </c>
      <c r="J24" s="279">
        <f>'AI 权益'!$D$3</f>
      </c>
      <c r="K24" s="279" t="s">
        <v>1002</v>
      </c>
      <c r="L24" s="279">
        <f>IF(AND($D$24=$E$24,$F$24=$G$24,$H$24=$I$24,$J$24=$K$24),"通过","失败")</f>
      </c>
      <c r="M24" s="281">
        <f>'AI 权益'!$N$3</f>
      </c>
      <c r="N24" s="275" t="s">
        <v>1003</v>
      </c>
      <c r="O24" s="275" t="s">
        <v>1004</v>
      </c>
      <c r="P24" s="275" t="s">
        <v>1005</v>
      </c>
      <c r="Q24" s="275"/>
      <c r="R24" s="275"/>
      <c r="S24" s="275"/>
      <c r="T24" s="275"/>
    </row>
    <row r="25">
      <c r="A25" s="275" t="s">
        <v>1006</v>
      </c>
      <c r="B25" s="275" t="s">
        <v>1007</v>
      </c>
      <c r="C25" s="279">
        <v>4</v>
      </c>
      <c r="D25" s="279">
        <f>'AI 权益'!$G$4</f>
      </c>
      <c r="E25" s="279" t="s">
        <v>1000</v>
      </c>
      <c r="F25" s="279">
        <f>'AI 权益'!$H$4</f>
      </c>
      <c r="G25" s="280" t="s">
        <v>1001</v>
      </c>
      <c r="H25" s="280">
        <f>'AI 权益'!$B$4</f>
      </c>
      <c r="I25" s="279">
        <v>6</v>
      </c>
      <c r="J25" s="279">
        <f>'AI 权益'!$D$4</f>
      </c>
      <c r="K25" s="279" t="s">
        <v>1008</v>
      </c>
      <c r="L25" s="279">
        <f>IF(AND($D$25=$E$25,$F$25=$G$25,$H$25=$I$25,$J$25=$K$25),"通过","失败")</f>
      </c>
      <c r="M25" s="281">
        <f>'AI 权益'!$N$4</f>
      </c>
      <c r="N25" s="275" t="s">
        <v>1003</v>
      </c>
      <c r="O25" s="275" t="s">
        <v>1004</v>
      </c>
      <c r="P25" s="275" t="s">
        <v>1005</v>
      </c>
      <c r="Q25" s="275"/>
      <c r="R25" s="275"/>
      <c r="S25" s="275"/>
      <c r="T25" s="275"/>
    </row>
    <row r="26">
      <c r="A26" s="275" t="s">
        <v>1009</v>
      </c>
      <c r="B26" s="275" t="s">
        <v>1010</v>
      </c>
      <c r="C26" s="279">
        <v>5</v>
      </c>
      <c r="D26" s="279">
        <f>'AI 权益'!$G$5</f>
      </c>
      <c r="E26" s="279" t="s">
        <v>1011</v>
      </c>
      <c r="F26" s="279">
        <f>'AI 权益'!$H$5</f>
      </c>
      <c r="G26" s="280" t="s">
        <v>1001</v>
      </c>
      <c r="H26" s="280">
        <f>'AI 权益'!$B$5</f>
      </c>
      <c r="I26" s="279">
        <v>10</v>
      </c>
      <c r="J26" s="279">
        <f>'AI 权益'!$D$5</f>
      </c>
      <c r="K26" s="279" t="s">
        <v>1008</v>
      </c>
      <c r="L26" s="279">
        <f>IF(AND($D$26=$E$26,$F$26=$G$26,$H$26=$I$26,$J$26=$K$26),"通过","失败")</f>
      </c>
      <c r="M26" s="281">
        <f>'AI 权益'!$N$5</f>
      </c>
      <c r="N26" s="275" t="s">
        <v>1003</v>
      </c>
      <c r="O26" s="275" t="s">
        <v>1004</v>
      </c>
      <c r="P26" s="275" t="s">
        <v>1005</v>
      </c>
      <c r="Q26" s="275"/>
      <c r="R26" s="275"/>
      <c r="S26" s="275"/>
      <c r="T26" s="275"/>
    </row>
    <row r="27">
      <c r="A27" s="275" t="s">
        <v>1012</v>
      </c>
      <c r="B27" s="275" t="s">
        <v>1013</v>
      </c>
      <c r="C27" s="279">
        <v>6</v>
      </c>
      <c r="D27" s="279">
        <f>'AI 权益'!$G$6</f>
      </c>
      <c r="E27" s="279" t="s">
        <v>1011</v>
      </c>
      <c r="F27" s="279">
        <f>'AI 权益'!$H$6</f>
      </c>
      <c r="G27" s="280" t="s">
        <v>1001</v>
      </c>
      <c r="H27" s="280">
        <f>'AI 权益'!$B$6</f>
      </c>
      <c r="I27" s="279" t="s">
        <v>1014</v>
      </c>
      <c r="J27" s="279">
        <f>'AI 权益'!$D$6</f>
      </c>
      <c r="K27" s="279" t="s">
        <v>1008</v>
      </c>
      <c r="L27" s="279">
        <f>IF(AND($D$27=$E$27,$F$27=$G$27,$H$27=$I$27,$J$27=$K$27),"通过","失败")</f>
      </c>
      <c r="M27" s="281">
        <f>'AI 权益'!$N$6</f>
      </c>
      <c r="N27" s="275" t="s">
        <v>1003</v>
      </c>
      <c r="O27" s="275" t="s">
        <v>1004</v>
      </c>
      <c r="P27" s="275" t="s">
        <v>1005</v>
      </c>
      <c r="Q27" s="275"/>
      <c r="R27" s="275"/>
      <c r="S27" s="275"/>
      <c r="T27" s="275"/>
    </row>
    <row r="28">
      <c r="A28" s="275" t="s">
        <v>1015</v>
      </c>
      <c r="B28" s="275" t="s">
        <v>1016</v>
      </c>
      <c r="C28" s="279">
        <v>7</v>
      </c>
      <c r="D28" s="279">
        <f>'AI 权益'!$G$7</f>
      </c>
      <c r="E28" s="279" t="s">
        <v>1011</v>
      </c>
      <c r="F28" s="279">
        <f>'AI 权益'!$H$7</f>
      </c>
      <c r="G28" s="280" t="s">
        <v>1017</v>
      </c>
      <c r="H28" s="280">
        <f>'AI 权益'!$B$7</f>
      </c>
      <c r="I28" s="279">
        <v>4</v>
      </c>
      <c r="J28" s="279">
        <f>'AI 权益'!$D$7</f>
      </c>
      <c r="K28" s="279" t="s">
        <v>1008</v>
      </c>
      <c r="L28" s="279">
        <f>IF(AND($D$28=$E$28,$F$28=$G$28,$H$28=$I$28,$J$28=$K$28),"通过","失败")</f>
      </c>
      <c r="M28" s="281">
        <f>'AI 权益'!$N$7</f>
      </c>
      <c r="N28" s="275" t="s">
        <v>1003</v>
      </c>
      <c r="O28" s="275" t="s">
        <v>1004</v>
      </c>
      <c r="P28" s="275" t="s">
        <v>1005</v>
      </c>
      <c r="Q28" s="275"/>
      <c r="R28" s="275"/>
      <c r="S28" s="275"/>
      <c r="T28" s="275"/>
    </row>
    <row r="29">
      <c r="A29" s="275" t="s">
        <v>1018</v>
      </c>
      <c r="B29" s="275" t="s">
        <v>1019</v>
      </c>
      <c r="C29" s="279">
        <v>8</v>
      </c>
      <c r="D29" s="279">
        <f>'AI 权益'!$G$8</f>
      </c>
      <c r="E29" s="279" t="s">
        <v>1011</v>
      </c>
      <c r="F29" s="279">
        <f>'AI 权益'!$H$8</f>
      </c>
      <c r="G29" s="280" t="s">
        <v>1017</v>
      </c>
      <c r="H29" s="280">
        <f>'AI 权益'!$B$8</f>
      </c>
      <c r="I29" s="279">
        <v>6</v>
      </c>
      <c r="J29" s="279">
        <f>'AI 权益'!$D$8</f>
      </c>
      <c r="K29" s="279" t="s">
        <v>1008</v>
      </c>
      <c r="L29" s="279">
        <f>IF(AND($D$29=$E$29,$F$29=$G$29,$H$29=$I$29,$J$29=$K$29),"通过","失败")</f>
      </c>
      <c r="M29" s="281">
        <f>'AI 权益'!$N$8</f>
      </c>
      <c r="N29" s="275" t="s">
        <v>1003</v>
      </c>
      <c r="O29" s="275" t="s">
        <v>1004</v>
      </c>
      <c r="P29" s="275" t="s">
        <v>1005</v>
      </c>
      <c r="Q29" s="275"/>
      <c r="R29" s="275"/>
      <c r="S29" s="275"/>
      <c r="T29" s="275"/>
    </row>
    <row r="30">
      <c r="A30" s="275" t="s">
        <v>1020</v>
      </c>
      <c r="B30" s="275" t="s">
        <v>1021</v>
      </c>
      <c r="C30" s="279">
        <v>9</v>
      </c>
      <c r="D30" s="279">
        <f>'AI 权益'!$G$9</f>
      </c>
      <c r="E30" s="279" t="s">
        <v>1022</v>
      </c>
      <c r="F30" s="279">
        <f>'AI 权益'!$H$9</f>
      </c>
      <c r="G30" s="280" t="s">
        <v>1017</v>
      </c>
      <c r="H30" s="280">
        <f>'AI 权益'!$B$9</f>
      </c>
      <c r="I30" s="279">
        <v>10</v>
      </c>
      <c r="J30" s="279">
        <f>'AI 权益'!$D$9</f>
      </c>
      <c r="K30" s="279" t="s">
        <v>1008</v>
      </c>
      <c r="L30" s="279">
        <f>IF(AND($D$30=$E$30,$F$30=$G$30,$H$30=$I$30,$J$30=$K$30),"通过","失败")</f>
      </c>
      <c r="M30" s="281">
        <f>'AI 权益'!$N$9</f>
      </c>
      <c r="N30" s="275" t="s">
        <v>1003</v>
      </c>
      <c r="O30" s="275" t="s">
        <v>1004</v>
      </c>
      <c r="P30" s="275" t="s">
        <v>1005</v>
      </c>
      <c r="Q30" s="275"/>
      <c r="R30" s="275"/>
      <c r="S30" s="275"/>
      <c r="T30" s="275"/>
    </row>
    <row r="31">
      <c r="A31" s="275" t="s">
        <v>1023</v>
      </c>
      <c r="B31" s="275" t="s">
        <v>1024</v>
      </c>
      <c r="C31" s="279">
        <v>10</v>
      </c>
      <c r="D31" s="279">
        <f>'AI 权益'!$G$10</f>
      </c>
      <c r="E31" s="279" t="s">
        <v>1022</v>
      </c>
      <c r="F31" s="279">
        <f>'AI 权益'!$H$10</f>
      </c>
      <c r="G31" s="280" t="s">
        <v>1017</v>
      </c>
      <c r="H31" s="280">
        <f>'AI 权益'!$B$10</f>
      </c>
      <c r="I31" s="279" t="s">
        <v>1014</v>
      </c>
      <c r="J31" s="279">
        <f>'AI 权益'!$D$10</f>
      </c>
      <c r="K31" s="279" t="s">
        <v>1008</v>
      </c>
      <c r="L31" s="279">
        <f>IF(AND($D$31=$E$31,$F$31=$G$31,$H$31=$I$31,$J$31=$K$31),"通过","失败")</f>
      </c>
      <c r="M31" s="281">
        <f>'AI 权益'!$N$10</f>
      </c>
      <c r="N31" s="275" t="s">
        <v>1003</v>
      </c>
      <c r="O31" s="275" t="s">
        <v>1004</v>
      </c>
      <c r="P31" s="275" t="s">
        <v>1005</v>
      </c>
      <c r="Q31" s="275"/>
      <c r="R31" s="275"/>
      <c r="S31" s="275"/>
      <c r="T31" s="275"/>
    </row>
    <row r="32">
      <c r="A32" s="275" t="s">
        <v>1025</v>
      </c>
      <c r="B32" s="275" t="s">
        <v>1026</v>
      </c>
      <c r="C32" s="279">
        <v>2</v>
      </c>
      <c r="D32" s="279">
        <f>'AI 权益'!$G$2</f>
      </c>
      <c r="E32" s="279" t="s">
        <v>1027</v>
      </c>
      <c r="F32" s="279" t="s">
        <v>1028</v>
      </c>
      <c r="G32" s="280" t="s">
        <v>1028</v>
      </c>
      <c r="H32" s="280" t="s">
        <v>1028</v>
      </c>
      <c r="I32" s="279" t="s">
        <v>1028</v>
      </c>
      <c r="J32" s="279" t="s">
        <v>1028</v>
      </c>
      <c r="K32" s="279" t="s">
        <v>1028</v>
      </c>
      <c r="L32" s="279">
        <f>IF($D$32=$E$32,"通过","失败")</f>
      </c>
      <c r="M32" s="281" t="s">
        <v>1028</v>
      </c>
      <c r="N32" s="275" t="s">
        <v>1028</v>
      </c>
      <c r="O32" s="275" t="s">
        <v>1004</v>
      </c>
      <c r="P32" s="275" t="s">
        <v>1029</v>
      </c>
      <c r="Q32" s="275"/>
      <c r="R32" s="275"/>
      <c r="S32" s="275"/>
      <c r="T32" s="275"/>
    </row>
    <row r="33">
      <c r="A33" s="275" t="s">
        <v>1030</v>
      </c>
      <c r="B33" s="275" t="s">
        <v>1031</v>
      </c>
      <c r="C33" s="279" t="s">
        <v>1028</v>
      </c>
      <c r="D33" s="279" t="s">
        <v>1028</v>
      </c>
      <c r="E33" s="279" t="s">
        <v>1028</v>
      </c>
      <c r="F33" s="279" t="s">
        <v>1028</v>
      </c>
      <c r="G33" s="280" t="s">
        <v>1028</v>
      </c>
      <c r="H33" s="280" t="s">
        <v>1028</v>
      </c>
      <c r="I33" s="279" t="s">
        <v>1028</v>
      </c>
      <c r="J33" s="279" t="s">
        <v>1028</v>
      </c>
      <c r="K33" s="279" t="s">
        <v>1028</v>
      </c>
      <c r="L33" s="279" t="s">
        <v>1028</v>
      </c>
      <c r="M33" s="281" t="s">
        <v>1028</v>
      </c>
      <c r="N33" s="275" t="s">
        <v>1028</v>
      </c>
      <c r="O33" s="275" t="s">
        <v>1028</v>
      </c>
      <c r="P33" s="275" t="s">
        <v>1028</v>
      </c>
      <c r="Q33" s="275"/>
      <c r="R33" s="275"/>
      <c r="S33" s="275"/>
      <c r="T33" s="275"/>
    </row>
    <row r="34">
      <c r="A34" s="275" t="s">
        <v>1028</v>
      </c>
      <c r="B34" s="275" t="s">
        <v>1028</v>
      </c>
      <c r="C34" s="279" t="s">
        <v>1028</v>
      </c>
      <c r="D34" s="279" t="s">
        <v>1028</v>
      </c>
      <c r="E34" s="279" t="s">
        <v>1028</v>
      </c>
      <c r="F34" s="279" t="s">
        <v>1028</v>
      </c>
      <c r="G34" s="280" t="s">
        <v>1028</v>
      </c>
      <c r="H34" s="280" t="s">
        <v>1028</v>
      </c>
      <c r="I34" s="279" t="s">
        <v>1028</v>
      </c>
      <c r="J34" s="279" t="s">
        <v>1028</v>
      </c>
      <c r="K34" s="279" t="s">
        <v>1028</v>
      </c>
      <c r="L34" s="279" t="s">
        <v>1028</v>
      </c>
      <c r="M34" s="281" t="s">
        <v>1028</v>
      </c>
      <c r="N34" s="275" t="s">
        <v>1028</v>
      </c>
      <c r="O34" s="275" t="s">
        <v>1028</v>
      </c>
      <c r="P34" s="275" t="s">
        <v>1028</v>
      </c>
      <c r="Q34" s="275"/>
      <c r="R34" s="275"/>
      <c r="S34" s="275"/>
      <c r="T34" s="275"/>
    </row>
    <row r="35">
      <c r="A35" s="275" t="s">
        <v>1028</v>
      </c>
      <c r="B35" s="275" t="s">
        <v>1028</v>
      </c>
      <c r="C35" s="279" t="s">
        <v>1028</v>
      </c>
      <c r="D35" s="279" t="s">
        <v>1028</v>
      </c>
      <c r="E35" s="279" t="s">
        <v>1028</v>
      </c>
      <c r="F35" s="279" t="s">
        <v>1028</v>
      </c>
      <c r="G35" s="280" t="s">
        <v>1028</v>
      </c>
      <c r="H35" s="280" t="s">
        <v>1028</v>
      </c>
      <c r="I35" s="279" t="s">
        <v>1028</v>
      </c>
      <c r="J35" s="279" t="s">
        <v>1028</v>
      </c>
      <c r="K35" s="279" t="s">
        <v>1028</v>
      </c>
      <c r="L35" s="279" t="s">
        <v>1028</v>
      </c>
      <c r="M35" s="281" t="s">
        <v>1028</v>
      </c>
      <c r="N35" s="275" t="s">
        <v>1028</v>
      </c>
      <c r="O35" s="275" t="s">
        <v>1028</v>
      </c>
      <c r="P35" s="275" t="s">
        <v>1028</v>
      </c>
      <c r="Q35" s="275"/>
      <c r="R35" s="275"/>
      <c r="S35" s="275"/>
      <c r="T35" s="275"/>
    </row>
    <row r="36">
      <c r="A36" s="275" t="s">
        <v>1028</v>
      </c>
      <c r="B36" s="275" t="s">
        <v>1028</v>
      </c>
      <c r="C36" s="279" t="s">
        <v>1028</v>
      </c>
      <c r="D36" s="279" t="s">
        <v>1028</v>
      </c>
      <c r="E36" s="279" t="s">
        <v>1028</v>
      </c>
      <c r="F36" s="279" t="s">
        <v>1028</v>
      </c>
      <c r="G36" s="280" t="s">
        <v>1028</v>
      </c>
      <c r="H36" s="280" t="s">
        <v>1028</v>
      </c>
      <c r="I36" s="279" t="s">
        <v>1028</v>
      </c>
      <c r="J36" s="279" t="s">
        <v>1028</v>
      </c>
      <c r="K36" s="279" t="s">
        <v>1028</v>
      </c>
      <c r="L36" s="279" t="s">
        <v>1028</v>
      </c>
      <c r="M36" s="281" t="s">
        <v>1028</v>
      </c>
      <c r="N36" s="275" t="s">
        <v>1028</v>
      </c>
      <c r="O36" s="275" t="s">
        <v>1028</v>
      </c>
      <c r="P36" s="275" t="s">
        <v>1028</v>
      </c>
      <c r="Q36" s="275"/>
      <c r="R36" s="275"/>
      <c r="S36" s="275"/>
      <c r="T36" s="275"/>
    </row>
    <row r="37">
      <c r="A37" s="275" t="s">
        <v>1028</v>
      </c>
      <c r="B37" s="275" t="s">
        <v>1028</v>
      </c>
      <c r="C37" s="279" t="s">
        <v>1028</v>
      </c>
      <c r="D37" s="279" t="s">
        <v>1028</v>
      </c>
      <c r="E37" s="279" t="s">
        <v>1028</v>
      </c>
      <c r="F37" s="279" t="s">
        <v>1028</v>
      </c>
      <c r="G37" s="280" t="s">
        <v>1028</v>
      </c>
      <c r="H37" s="280" t="s">
        <v>1028</v>
      </c>
      <c r="I37" s="279" t="s">
        <v>1028</v>
      </c>
      <c r="J37" s="279" t="s">
        <v>1028</v>
      </c>
      <c r="K37" s="279" t="s">
        <v>1028</v>
      </c>
      <c r="L37" s="279" t="s">
        <v>1028</v>
      </c>
      <c r="M37" s="281" t="s">
        <v>1028</v>
      </c>
      <c r="N37" s="275" t="s">
        <v>1028</v>
      </c>
      <c r="O37" s="275" t="s">
        <v>1028</v>
      </c>
      <c r="P37" s="275" t="s">
        <v>1028</v>
      </c>
      <c r="Q37" s="275"/>
      <c r="R37" s="275"/>
      <c r="S37" s="275"/>
      <c r="T37" s="275"/>
    </row>
    <row r="38">
      <c r="A38" s="275" t="s">
        <v>1028</v>
      </c>
      <c r="B38" s="275" t="s">
        <v>1028</v>
      </c>
      <c r="C38" s="279" t="s">
        <v>1028</v>
      </c>
      <c r="D38" s="279" t="s">
        <v>1028</v>
      </c>
      <c r="E38" s="279" t="s">
        <v>1028</v>
      </c>
      <c r="F38" s="279" t="s">
        <v>1028</v>
      </c>
      <c r="G38" s="280" t="s">
        <v>1028</v>
      </c>
      <c r="H38" s="280" t="s">
        <v>1028</v>
      </c>
      <c r="I38" s="279" t="s">
        <v>1028</v>
      </c>
      <c r="J38" s="279" t="s">
        <v>1028</v>
      </c>
      <c r="K38" s="279" t="s">
        <v>1028</v>
      </c>
      <c r="L38" s="279" t="s">
        <v>1028</v>
      </c>
      <c r="M38" s="281" t="s">
        <v>1028</v>
      </c>
      <c r="N38" s="275" t="s">
        <v>1028</v>
      </c>
      <c r="O38" s="275" t="s">
        <v>1028</v>
      </c>
      <c r="P38" s="275" t="s">
        <v>1028</v>
      </c>
      <c r="Q38" s="275"/>
      <c r="R38" s="275"/>
      <c r="S38" s="275"/>
      <c r="T38" s="275"/>
    </row>
    <row r="39">
      <c r="A39" s="275" t="s">
        <v>1028</v>
      </c>
      <c r="B39" s="275" t="s">
        <v>1028</v>
      </c>
      <c r="C39" s="279" t="s">
        <v>1028</v>
      </c>
      <c r="D39" s="279" t="s">
        <v>1028</v>
      </c>
      <c r="E39" s="279" t="s">
        <v>1028</v>
      </c>
      <c r="F39" s="279" t="s">
        <v>1028</v>
      </c>
      <c r="G39" s="280" t="s">
        <v>1028</v>
      </c>
      <c r="H39" s="280" t="s">
        <v>1028</v>
      </c>
      <c r="I39" s="279" t="s">
        <v>1028</v>
      </c>
      <c r="J39" s="279" t="s">
        <v>1028</v>
      </c>
      <c r="K39" s="279" t="s">
        <v>1028</v>
      </c>
      <c r="L39" s="279" t="s">
        <v>1028</v>
      </c>
      <c r="M39" s="281" t="s">
        <v>1028</v>
      </c>
      <c r="N39" s="275" t="s">
        <v>1028</v>
      </c>
      <c r="O39" s="275" t="s">
        <v>1028</v>
      </c>
      <c r="P39" s="275" t="s">
        <v>1028</v>
      </c>
      <c r="Q39" s="275"/>
      <c r="R39" s="275"/>
      <c r="S39" s="275"/>
      <c r="T39" s="275"/>
    </row>
    <row r="40">
      <c r="A40" s="275" t="s">
        <v>1028</v>
      </c>
      <c r="B40" s="275" t="s">
        <v>1028</v>
      </c>
      <c r="C40" s="279" t="s">
        <v>1028</v>
      </c>
      <c r="D40" s="279" t="s">
        <v>1028</v>
      </c>
      <c r="E40" s="279" t="s">
        <v>1028</v>
      </c>
      <c r="F40" s="279" t="s">
        <v>1028</v>
      </c>
      <c r="G40" s="280" t="s">
        <v>1028</v>
      </c>
      <c r="H40" s="280" t="s">
        <v>1028</v>
      </c>
      <c r="I40" s="279" t="s">
        <v>1028</v>
      </c>
      <c r="J40" s="279" t="s">
        <v>1028</v>
      </c>
      <c r="K40" s="279" t="s">
        <v>1028</v>
      </c>
      <c r="L40" s="279" t="s">
        <v>1028</v>
      </c>
      <c r="M40" s="281" t="s">
        <v>1028</v>
      </c>
      <c r="N40" s="275" t="s">
        <v>1028</v>
      </c>
      <c r="O40" s="275" t="s">
        <v>1028</v>
      </c>
      <c r="P40" s="275" t="s">
        <v>1028</v>
      </c>
      <c r="Q40" s="275"/>
      <c r="R40" s="275"/>
      <c r="S40" s="275"/>
      <c r="T40" s="275"/>
    </row>
    <row r="41">
      <c r="A41" s="275" t="s">
        <v>1028</v>
      </c>
      <c r="B41" s="275" t="s">
        <v>1028</v>
      </c>
      <c r="C41" s="279" t="s">
        <v>1028</v>
      </c>
      <c r="D41" s="279" t="s">
        <v>1028</v>
      </c>
      <c r="E41" s="279" t="s">
        <v>1028</v>
      </c>
      <c r="F41" s="279" t="s">
        <v>1028</v>
      </c>
      <c r="G41" s="280" t="s">
        <v>1028</v>
      </c>
      <c r="H41" s="280" t="s">
        <v>1028</v>
      </c>
      <c r="I41" s="279" t="s">
        <v>1028</v>
      </c>
      <c r="J41" s="279" t="s">
        <v>1028</v>
      </c>
      <c r="K41" s="279" t="s">
        <v>1028</v>
      </c>
      <c r="L41" s="279" t="s">
        <v>1028</v>
      </c>
      <c r="M41" s="281" t="s">
        <v>1028</v>
      </c>
      <c r="N41" s="275" t="s">
        <v>1028</v>
      </c>
      <c r="O41" s="275" t="s">
        <v>1028</v>
      </c>
      <c r="P41" s="275" t="s">
        <v>1028</v>
      </c>
      <c r="Q41" s="275"/>
      <c r="R41" s="275"/>
      <c r="S41" s="275"/>
      <c r="T41" s="275"/>
    </row>
    <row r="42">
      <c r="A42" s="275" t="s">
        <v>1028</v>
      </c>
      <c r="B42" s="275" t="s">
        <v>1028</v>
      </c>
      <c r="C42" s="279" t="s">
        <v>1028</v>
      </c>
      <c r="D42" s="279" t="s">
        <v>1028</v>
      </c>
      <c r="E42" s="279" t="s">
        <v>1028</v>
      </c>
      <c r="F42" s="279" t="s">
        <v>1028</v>
      </c>
      <c r="G42" s="280" t="s">
        <v>1028</v>
      </c>
      <c r="H42" s="280" t="s">
        <v>1028</v>
      </c>
      <c r="I42" s="279" t="s">
        <v>1028</v>
      </c>
      <c r="J42" s="279" t="s">
        <v>1028</v>
      </c>
      <c r="K42" s="279" t="s">
        <v>1028</v>
      </c>
      <c r="L42" s="279" t="s">
        <v>1028</v>
      </c>
      <c r="M42" s="281" t="s">
        <v>1028</v>
      </c>
      <c r="N42" s="275" t="s">
        <v>1028</v>
      </c>
      <c r="O42" s="275" t="s">
        <v>1028</v>
      </c>
      <c r="P42" s="275" t="s">
        <v>1028</v>
      </c>
      <c r="Q42" s="275"/>
      <c r="R42" s="275"/>
      <c r="S42" s="275"/>
      <c r="T42" s="275"/>
    </row>
    <row r="43">
      <c r="A43" s="275" t="s">
        <v>1028</v>
      </c>
      <c r="B43" s="275" t="s">
        <v>1028</v>
      </c>
      <c r="C43" s="279" t="s">
        <v>1028</v>
      </c>
      <c r="D43" s="279" t="s">
        <v>1028</v>
      </c>
      <c r="E43" s="279" t="s">
        <v>1028</v>
      </c>
      <c r="F43" s="279" t="s">
        <v>1028</v>
      </c>
      <c r="G43" s="280" t="s">
        <v>1028</v>
      </c>
      <c r="H43" s="280" t="s">
        <v>1028</v>
      </c>
      <c r="I43" s="279" t="s">
        <v>1028</v>
      </c>
      <c r="J43" s="279" t="s">
        <v>1028</v>
      </c>
      <c r="K43" s="279" t="s">
        <v>1028</v>
      </c>
      <c r="L43" s="279" t="s">
        <v>1028</v>
      </c>
      <c r="M43" s="281" t="s">
        <v>1028</v>
      </c>
      <c r="N43" s="275" t="s">
        <v>1028</v>
      </c>
      <c r="O43" s="275" t="s">
        <v>1028</v>
      </c>
      <c r="P43" s="275" t="s">
        <v>1028</v>
      </c>
      <c r="Q43" s="275"/>
      <c r="R43" s="275"/>
      <c r="S43" s="275"/>
      <c r="T43" s="275"/>
    </row>
  </sheetData>
  <picture r:id="rId1"/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C2" xSplit="2" ySplit="1"/>
    </sheetView>
  </sheetViews>
  <sheetFormatPr defaultRowHeight="0"/>
  <cols>
    <col collapsed="false" customWidth="true" hidden="false" max="4" min="4" style="0" width="36.563380281690144"/>
    <col collapsed="false" customWidth="true" hidden="false" max="5" min="5" style="0" width="36.563380281690144"/>
    <col collapsed="false" customWidth="true" hidden="false" max="6" min="6" style="0" width="36.563380281690144"/>
    <col collapsed="false" customWidth="true" hidden="false" max="7" min="7" style="0" width="36.563380281690144"/>
    <col collapsed="false" customWidth="true" hidden="false" max="1" min="1" style="0" width="11.211267605633802"/>
    <col collapsed="false" customWidth="true" hidden="false" max="2" min="2" style="0" width="24.169014084507044"/>
    <col collapsed="false" customWidth="true" hidden="false" max="3" min="3" style="0" width="36.563380281690144"/>
  </cols>
  <sheetData>
    <row r="1">
      <c r="A1" s="282" t="s">
        <v>1032</v>
      </c>
      <c r="B1" s="282" t="s">
        <v>1033</v>
      </c>
      <c r="C1" s="282" t="s">
        <v>1034</v>
      </c>
      <c r="D1" s="282" t="s">
        <v>1035</v>
      </c>
      <c r="E1" s="282" t="s">
        <v>1036</v>
      </c>
      <c r="F1" s="282" t="s">
        <v>1037</v>
      </c>
      <c r="G1" s="282" t="s">
        <v>1038</v>
      </c>
    </row>
    <row r="2">
      <c r="A2" s="283" t="s">
        <v>1039</v>
      </c>
      <c r="B2" s="283" t="s">
        <v>1040</v>
      </c>
      <c r="C2" s="283" t="s">
        <v>1041</v>
      </c>
      <c r="D2" s="283" t="s">
        <v>1042</v>
      </c>
      <c r="E2" s="283" t="s">
        <v>1043</v>
      </c>
      <c r="F2" s="283" t="s">
        <v>1044</v>
      </c>
      <c r="G2" s="283" t="s">
        <v>1045</v>
      </c>
    </row>
    <row r="3">
      <c r="A3" s="283" t="s">
        <v>1046</v>
      </c>
      <c r="B3" s="283" t="s">
        <v>1047</v>
      </c>
      <c r="C3" s="283" t="s">
        <v>1048</v>
      </c>
      <c r="D3" s="283" t="s">
        <v>1049</v>
      </c>
      <c r="E3" s="283" t="s">
        <v>1050</v>
      </c>
      <c r="F3" s="283" t="s">
        <v>1051</v>
      </c>
      <c r="G3" s="283" t="s">
        <v>1045</v>
      </c>
    </row>
    <row r="4">
      <c r="A4" s="283" t="s">
        <v>1052</v>
      </c>
      <c r="B4" s="283" t="s">
        <v>1053</v>
      </c>
      <c r="C4" s="283" t="s">
        <v>1054</v>
      </c>
      <c r="D4" s="283" t="s">
        <v>1055</v>
      </c>
      <c r="E4" s="283" t="s">
        <v>1056</v>
      </c>
      <c r="F4" s="283" t="s">
        <v>1057</v>
      </c>
      <c r="G4" s="283" t="s">
        <v>1045</v>
      </c>
    </row>
    <row r="5">
      <c r="A5" s="283" t="s">
        <v>1058</v>
      </c>
      <c r="B5" s="283" t="s">
        <v>1059</v>
      </c>
      <c r="C5" s="283" t="s">
        <v>1041</v>
      </c>
      <c r="D5" s="283" t="s">
        <v>1042</v>
      </c>
      <c r="E5" s="283" t="s">
        <v>1043</v>
      </c>
      <c r="F5" s="283" t="s">
        <v>1044</v>
      </c>
      <c r="G5" s="283" t="s">
        <v>1045</v>
      </c>
    </row>
    <row r="6">
      <c r="A6" s="283" t="s">
        <v>1060</v>
      </c>
      <c r="B6" s="283" t="s">
        <v>1061</v>
      </c>
      <c r="C6" s="283" t="s">
        <v>1062</v>
      </c>
      <c r="D6" s="283" t="s">
        <v>1063</v>
      </c>
      <c r="E6" s="283" t="s">
        <v>1064</v>
      </c>
      <c r="F6" s="283" t="s">
        <v>1065</v>
      </c>
      <c r="G6" s="283" t="s">
        <v>1045</v>
      </c>
    </row>
    <row r="7">
      <c r="A7" s="283" t="s">
        <v>1066</v>
      </c>
      <c r="B7" s="283" t="s">
        <v>1067</v>
      </c>
      <c r="C7" s="283" t="s">
        <v>1068</v>
      </c>
      <c r="D7" s="283" t="s">
        <v>1069</v>
      </c>
      <c r="E7" s="283" t="s">
        <v>1070</v>
      </c>
      <c r="F7" s="283" t="s">
        <v>1071</v>
      </c>
      <c r="G7" s="283" t="s">
        <v>1045</v>
      </c>
    </row>
    <row r="8">
      <c r="A8" s="283" t="s">
        <v>1072</v>
      </c>
      <c r="B8" s="283" t="s">
        <v>1073</v>
      </c>
      <c r="C8" s="283" t="s">
        <v>1074</v>
      </c>
      <c r="D8" s="283" t="s">
        <v>1075</v>
      </c>
      <c r="E8" s="283" t="s">
        <v>1076</v>
      </c>
      <c r="F8" s="283" t="s">
        <v>1077</v>
      </c>
      <c r="G8" s="283" t="s">
        <v>1045</v>
      </c>
    </row>
    <row r="9">
      <c r="A9" s="283" t="s">
        <v>1078</v>
      </c>
      <c r="B9" s="283" t="s">
        <v>1079</v>
      </c>
      <c r="C9" s="283" t="s">
        <v>1080</v>
      </c>
      <c r="D9" s="283" t="s">
        <v>1081</v>
      </c>
      <c r="E9" s="283" t="s">
        <v>1082</v>
      </c>
      <c r="F9" s="283" t="s">
        <v>1083</v>
      </c>
      <c r="G9" s="283" t="s">
        <v>1045</v>
      </c>
    </row>
    <row r="10">
      <c r="A10" s="283" t="s">
        <v>1084</v>
      </c>
      <c r="B10" s="283" t="s">
        <v>1085</v>
      </c>
      <c r="C10" s="283" t="s">
        <v>1086</v>
      </c>
      <c r="D10" s="283" t="s">
        <v>1087</v>
      </c>
      <c r="E10" s="283" t="s">
        <v>1088</v>
      </c>
      <c r="F10" s="283" t="s">
        <v>1089</v>
      </c>
      <c r="G10" s="283" t="s">
        <v>1045</v>
      </c>
    </row>
    <row r="11">
      <c r="A11" s="283" t="s">
        <v>1090</v>
      </c>
      <c r="B11" s="283" t="s">
        <v>1091</v>
      </c>
      <c r="C11" s="283" t="s">
        <v>1092</v>
      </c>
      <c r="D11" s="283" t="s">
        <v>1093</v>
      </c>
      <c r="E11" s="283" t="s">
        <v>1094</v>
      </c>
      <c r="F11" s="283" t="s">
        <v>1095</v>
      </c>
      <c r="G11" s="283" t="s">
        <v>1045</v>
      </c>
    </row>
    <row r="12">
      <c r="A12" s="283" t="s">
        <v>1096</v>
      </c>
      <c r="B12" s="283" t="s">
        <v>1097</v>
      </c>
      <c r="C12" s="283" t="s">
        <v>1080</v>
      </c>
      <c r="D12" s="283" t="s">
        <v>1081</v>
      </c>
      <c r="E12" s="283" t="s">
        <v>1082</v>
      </c>
      <c r="F12" s="283" t="s">
        <v>1083</v>
      </c>
      <c r="G12" s="283" t="s">
        <v>1045</v>
      </c>
    </row>
    <row r="13">
      <c r="A13" s="283" t="s">
        <v>1098</v>
      </c>
      <c r="B13" s="283" t="s">
        <v>1099</v>
      </c>
      <c r="C13" s="283" t="s">
        <v>1100</v>
      </c>
      <c r="D13" s="283" t="s">
        <v>1101</v>
      </c>
      <c r="E13" s="283" t="s">
        <v>1102</v>
      </c>
      <c r="F13" s="283" t="s">
        <v>1103</v>
      </c>
      <c r="G13" s="283" t="s">
        <v>1045</v>
      </c>
    </row>
    <row r="14">
      <c r="A14" s="283" t="s">
        <v>1104</v>
      </c>
      <c r="B14" s="283" t="s">
        <v>1105</v>
      </c>
      <c r="C14" s="283" t="s">
        <v>1106</v>
      </c>
      <c r="D14" s="283" t="s">
        <v>1107</v>
      </c>
      <c r="E14" s="283" t="s">
        <v>1108</v>
      </c>
      <c r="F14" s="283" t="s">
        <v>1109</v>
      </c>
      <c r="G14" s="283" t="s">
        <v>1045</v>
      </c>
    </row>
    <row r="15">
      <c r="A15" s="283" t="s">
        <v>1110</v>
      </c>
      <c r="B15" s="283" t="s">
        <v>1111</v>
      </c>
      <c r="C15" s="283" t="s">
        <v>1112</v>
      </c>
      <c r="D15" s="283" t="s">
        <v>1113</v>
      </c>
      <c r="E15" s="283" t="s">
        <v>1114</v>
      </c>
      <c r="F15" s="283" t="s">
        <v>1115</v>
      </c>
      <c r="G15" s="283" t="s">
        <v>1116</v>
      </c>
    </row>
    <row r="16">
      <c r="A16" s="283" t="s">
        <v>1117</v>
      </c>
      <c r="B16" s="283" t="s">
        <v>1118</v>
      </c>
      <c r="C16" s="283" t="s">
        <v>1086</v>
      </c>
      <c r="D16" s="283" t="s">
        <v>1087</v>
      </c>
      <c r="E16" s="283" t="s">
        <v>1088</v>
      </c>
      <c r="F16" s="283" t="s">
        <v>1089</v>
      </c>
      <c r="G16" s="283" t="s">
        <v>1045</v>
      </c>
    </row>
    <row r="17">
      <c r="A17" s="283" t="s">
        <v>1119</v>
      </c>
      <c r="B17" s="283" t="s">
        <v>1120</v>
      </c>
      <c r="C17" s="283" t="s">
        <v>1121</v>
      </c>
      <c r="D17" s="283" t="s">
        <v>1122</v>
      </c>
      <c r="E17" s="283" t="s">
        <v>1123</v>
      </c>
      <c r="F17" s="283" t="s">
        <v>1124</v>
      </c>
      <c r="G17" s="283" t="s">
        <v>1045</v>
      </c>
    </row>
    <row r="18">
      <c r="A18" s="283" t="s">
        <v>1125</v>
      </c>
      <c r="B18" s="283" t="s">
        <v>1126</v>
      </c>
      <c r="C18" s="283" t="s">
        <v>1127</v>
      </c>
      <c r="D18" s="283" t="s">
        <v>1128</v>
      </c>
      <c r="E18" s="283" t="s">
        <v>1129</v>
      </c>
      <c r="F18" s="283" t="s">
        <v>1130</v>
      </c>
      <c r="G18" s="283" t="s">
        <v>1045</v>
      </c>
    </row>
    <row r="19">
      <c r="A19" s="283" t="s">
        <v>1131</v>
      </c>
      <c r="B19" s="283" t="s">
        <v>1132</v>
      </c>
      <c r="C19" s="283" t="s">
        <v>1133</v>
      </c>
      <c r="D19" s="283" t="s">
        <v>1134</v>
      </c>
      <c r="E19" s="283" t="s">
        <v>1135</v>
      </c>
      <c r="F19" s="283" t="s">
        <v>1136</v>
      </c>
      <c r="G19" s="283" t="s">
        <v>1045</v>
      </c>
    </row>
    <row r="20">
      <c r="A20" s="283" t="s">
        <v>1137</v>
      </c>
      <c r="B20" s="283" t="s">
        <v>1138</v>
      </c>
      <c r="C20" s="283" t="s">
        <v>1048</v>
      </c>
      <c r="D20" s="283" t="s">
        <v>1049</v>
      </c>
      <c r="E20" s="283" t="s">
        <v>1050</v>
      </c>
      <c r="F20" s="283" t="s">
        <v>1051</v>
      </c>
      <c r="G20" s="283" t="s">
        <v>1045</v>
      </c>
    </row>
    <row r="21">
      <c r="A21" s="283" t="s">
        <v>1139</v>
      </c>
      <c r="B21" s="283" t="s">
        <v>1140</v>
      </c>
      <c r="C21" s="283" t="s">
        <v>1141</v>
      </c>
      <c r="D21" s="283" t="s">
        <v>1142</v>
      </c>
      <c r="E21" s="283" t="s">
        <v>1143</v>
      </c>
      <c r="F21" s="283" t="s">
        <v>1144</v>
      </c>
      <c r="G21" s="283" t="s">
        <v>1045</v>
      </c>
    </row>
    <row r="22">
      <c r="A22" s="283" t="s">
        <v>1145</v>
      </c>
      <c r="B22" s="283" t="s">
        <v>1146</v>
      </c>
      <c r="C22" s="283" t="s">
        <v>1041</v>
      </c>
      <c r="D22" s="283" t="s">
        <v>1042</v>
      </c>
      <c r="E22" s="283" t="s">
        <v>1043</v>
      </c>
      <c r="F22" s="283" t="s">
        <v>1044</v>
      </c>
      <c r="G22" s="283" t="s">
        <v>1045</v>
      </c>
    </row>
    <row r="23">
      <c r="A23" s="283" t="s">
        <v>1147</v>
      </c>
      <c r="B23" s="283" t="s">
        <v>1148</v>
      </c>
      <c r="C23" s="283" t="s">
        <v>1041</v>
      </c>
      <c r="D23" s="283" t="s">
        <v>1042</v>
      </c>
      <c r="E23" s="283" t="s">
        <v>1043</v>
      </c>
      <c r="F23" s="283" t="s">
        <v>1044</v>
      </c>
      <c r="G23" s="283" t="s">
        <v>1045</v>
      </c>
    </row>
    <row r="24">
      <c r="A24" s="283" t="s">
        <v>1149</v>
      </c>
      <c r="B24" s="283" t="s">
        <v>1150</v>
      </c>
      <c r="C24" s="283" t="s">
        <v>1092</v>
      </c>
      <c r="D24" s="283" t="s">
        <v>1093</v>
      </c>
      <c r="E24" s="283" t="s">
        <v>1094</v>
      </c>
      <c r="F24" s="283" t="s">
        <v>1095</v>
      </c>
      <c r="G24" s="283" t="s">
        <v>1045</v>
      </c>
    </row>
    <row r="25">
      <c r="A25" s="283" t="s">
        <v>1151</v>
      </c>
      <c r="B25" s="283" t="s">
        <v>1152</v>
      </c>
      <c r="C25" s="283" t="s">
        <v>1153</v>
      </c>
      <c r="D25" s="283" t="s">
        <v>1154</v>
      </c>
      <c r="E25" s="283" t="s">
        <v>1155</v>
      </c>
      <c r="F25" s="283" t="s">
        <v>1156</v>
      </c>
      <c r="G25" s="283" t="s">
        <v>1045</v>
      </c>
    </row>
    <row r="26">
      <c r="A26" s="283" t="s">
        <v>1157</v>
      </c>
      <c r="B26" s="283" t="s">
        <v>1158</v>
      </c>
      <c r="C26" s="283" t="s">
        <v>1159</v>
      </c>
      <c r="D26" s="283" t="s">
        <v>1160</v>
      </c>
      <c r="E26" s="283" t="s">
        <v>1161</v>
      </c>
      <c r="F26" s="283" t="s">
        <v>1162</v>
      </c>
      <c r="G26" s="283" t="s">
        <v>1163</v>
      </c>
    </row>
    <row r="27">
      <c r="A27" s="283" t="s">
        <v>1164</v>
      </c>
      <c r="B27" s="283" t="s">
        <v>1165</v>
      </c>
      <c r="C27" s="283" t="s">
        <v>1166</v>
      </c>
      <c r="D27" s="283" t="s">
        <v>1167</v>
      </c>
      <c r="E27" s="283" t="s">
        <v>1168</v>
      </c>
      <c r="F27" s="283" t="s">
        <v>1169</v>
      </c>
      <c r="G27" s="283" t="s">
        <v>1163</v>
      </c>
    </row>
    <row r="28">
      <c r="A28" s="283" t="s">
        <v>1170</v>
      </c>
      <c r="B28" s="283" t="s">
        <v>1171</v>
      </c>
      <c r="C28" s="283" t="s">
        <v>1172</v>
      </c>
      <c r="D28" s="283" t="s">
        <v>1173</v>
      </c>
      <c r="E28" s="283" t="s">
        <v>1174</v>
      </c>
      <c r="F28" s="283" t="s">
        <v>1175</v>
      </c>
      <c r="G28" s="283" t="s">
        <v>1045</v>
      </c>
    </row>
  </sheetData>
  <picture r:id="rId1"/>
</worksheet>
</file>

<file path=xl/worksheets/sheet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C2" xSplit="2" ySplit="1"/>
    </sheetView>
  </sheetViews>
  <sheetFormatPr defaultRowHeight="0"/>
  <cols>
    <col collapsed="false" customWidth="true" hidden="false" max="8" min="8" style="0" width="16.281690140845072"/>
    <col collapsed="false" customWidth="true" hidden="false" max="12" min="12" style="0" width="16.281690140845072"/>
    <col collapsed="false" customWidth="true" hidden="false" max="16" min="16" style="0" width="36.563380281690144"/>
    <col collapsed="false" customWidth="true" hidden="false" max="4" min="4" style="0" width="27.549295774647888"/>
    <col collapsed="false" customWidth="true" hidden="false" max="7" min="7" style="0" width="16.281690140845072"/>
    <col collapsed="false" customWidth="true" hidden="false" max="11" min="11" style="0" width="16.281690140845072"/>
    <col collapsed="false" customWidth="true" hidden="false" max="15" min="15" style="0" width="36.563380281690144"/>
    <col collapsed="false" customWidth="true" hidden="false" max="3" min="3" style="0" width="27.549295774647888"/>
    <col collapsed="false" customWidth="true" hidden="false" max="6" min="6" style="0" width="16.281690140845072"/>
    <col collapsed="false" customWidth="true" hidden="false" max="10" min="10" style="0" width="16.281690140845072"/>
    <col collapsed="false" customWidth="true" hidden="false" max="14" min="14" style="0" width="16.281690140845072"/>
    <col collapsed="false" customWidth="true" hidden="false" max="2" min="2" style="0" width="35.436619718309856"/>
    <col collapsed="false" customWidth="true" hidden="false" max="5" min="5" style="0" width="16.281690140845072"/>
    <col collapsed="false" customWidth="true" hidden="false" max="9" min="9" style="0" width="16.281690140845072"/>
    <col collapsed="false" customWidth="true" hidden="false" max="13" min="13" style="0" width="16.281690140845072"/>
    <col collapsed="false" customWidth="true" hidden="false" max="1" min="1" style="0" width="11.211267605633802"/>
  </cols>
  <sheetData>
    <row r="1">
      <c r="A1" s="284" t="s">
        <v>1176</v>
      </c>
      <c r="B1" s="284" t="s">
        <v>1177</v>
      </c>
      <c r="C1" s="284" t="s">
        <v>1178</v>
      </c>
      <c r="D1" s="284" t="s">
        <v>1179</v>
      </c>
      <c r="E1" s="284" t="s">
        <v>1180</v>
      </c>
      <c r="F1" s="284" t="s">
        <v>1181</v>
      </c>
      <c r="G1" s="284" t="s">
        <v>1182</v>
      </c>
      <c r="H1" s="284" t="s">
        <v>1183</v>
      </c>
      <c r="I1" s="284" t="s">
        <v>1184</v>
      </c>
      <c r="J1" s="284" t="s">
        <v>1185</v>
      </c>
      <c r="K1" s="284" t="s">
        <v>1186</v>
      </c>
      <c r="L1" s="284" t="s">
        <v>1187</v>
      </c>
      <c r="M1" s="284" t="s">
        <v>1188</v>
      </c>
      <c r="N1" s="284" t="s">
        <v>1189</v>
      </c>
      <c r="O1" s="284" t="s">
        <v>1190</v>
      </c>
      <c r="P1" s="284" t="s">
        <v>1191</v>
      </c>
    </row>
    <row r="2">
      <c r="A2" s="285" t="s">
        <v>1192</v>
      </c>
      <c r="B2" s="285" t="s">
        <v>1193</v>
      </c>
      <c r="C2" s="285" t="s">
        <v>1194</v>
      </c>
      <c r="D2" s="286">
        <f>'定价推演 （最终）'!$D$3</f>
      </c>
      <c r="E2" s="286">
        <f>'定价推演 （最终）'!$D$15</f>
      </c>
      <c r="F2" s="286">
        <v>0.5</v>
      </c>
      <c r="G2" s="286">
        <v>1000</v>
      </c>
      <c r="H2" s="286">
        <v>1000</v>
      </c>
      <c r="I2" s="286">
        <v>500</v>
      </c>
      <c r="J2" s="287">
        <f>($E$2-$D$2)*$F$2</f>
      </c>
      <c r="K2" s="287">
        <v>75.5</v>
      </c>
      <c r="L2" s="287">
        <f>ROUNDUP(($H$2-$G$2)*$F$2,0)</f>
      </c>
      <c r="M2" s="287">
        <v>0</v>
      </c>
      <c r="N2" s="288">
        <f>IF(AND(ABS($J$2-$K$2)&lt;0.000001,$L$2=$M$2),"通过","失败")</f>
      </c>
      <c r="O2" s="285" t="s">
        <v>1195</v>
      </c>
      <c r="P2" s="285" t="s">
        <v>1196</v>
      </c>
    </row>
    <row r="3">
      <c r="A3" s="285" t="s">
        <v>1197</v>
      </c>
      <c r="B3" s="285" t="s">
        <v>1198</v>
      </c>
      <c r="C3" s="285" t="s">
        <v>1194</v>
      </c>
      <c r="D3" s="286">
        <f>'定价推演 （最终）'!$D$5</f>
      </c>
      <c r="E3" s="286">
        <f>'定价推演 （最终）'!$D$17</f>
      </c>
      <c r="F3" s="286">
        <v>0.5</v>
      </c>
      <c r="G3" s="286">
        <v>1000</v>
      </c>
      <c r="H3" s="286">
        <v>1000</v>
      </c>
      <c r="I3" s="286">
        <v>500</v>
      </c>
      <c r="J3" s="287">
        <f>($E$3-$D$3)*$F$3</f>
      </c>
      <c r="K3" s="287">
        <v>760.5</v>
      </c>
      <c r="L3" s="287">
        <f>ROUNDUP(($H$3-$G$3)*$F$3,0)</f>
      </c>
      <c r="M3" s="287">
        <v>0</v>
      </c>
      <c r="N3" s="288">
        <f>IF(AND(ABS($J$3-$K$3)&lt;0.000001,$L$3=$M$3),"通过","失败")</f>
      </c>
      <c r="O3" s="285" t="s">
        <v>1195</v>
      </c>
      <c r="P3" s="285" t="s">
        <v>1196</v>
      </c>
    </row>
    <row r="4">
      <c r="A4" s="285" t="s">
        <v>1199</v>
      </c>
      <c r="B4" s="285" t="s">
        <v>1200</v>
      </c>
      <c r="C4" s="285" t="s">
        <v>1201</v>
      </c>
      <c r="D4" s="286">
        <f>'定价推演 （最终）'!$D$3</f>
      </c>
      <c r="E4" s="286">
        <f>'定价推演 （最终）'!$D$5</f>
      </c>
      <c r="F4" s="286">
        <v>0.5</v>
      </c>
      <c r="G4" s="286">
        <v>1000</v>
      </c>
      <c r="H4" s="286">
        <v>1000</v>
      </c>
      <c r="I4" s="286">
        <v>500</v>
      </c>
      <c r="J4" s="287">
        <f>$E$4</f>
      </c>
      <c r="K4" s="287">
        <v>399</v>
      </c>
      <c r="L4" s="287">
        <v>0</v>
      </c>
      <c r="M4" s="287">
        <v>0</v>
      </c>
      <c r="N4" s="288">
        <f>IF(AND(ABS($J$4-$K$4)&lt;0.000001,$L$4=$M$4),"通过","失败")</f>
      </c>
      <c r="O4" s="285" t="s">
        <v>1195</v>
      </c>
      <c r="P4" s="285" t="s">
        <v>1196</v>
      </c>
    </row>
    <row r="5">
      <c r="A5" s="285" t="s">
        <v>1202</v>
      </c>
      <c r="B5" s="285" t="s">
        <v>1203</v>
      </c>
      <c r="C5" s="285" t="s">
        <v>1201</v>
      </c>
      <c r="D5" s="286">
        <f>'定价推演 （最终）'!$D$15</f>
      </c>
      <c r="E5" s="286">
        <f>'定价推演 （最终）'!$D$17</f>
      </c>
      <c r="F5" s="286">
        <v>0.5</v>
      </c>
      <c r="G5" s="286">
        <v>1000</v>
      </c>
      <c r="H5" s="286">
        <v>1000</v>
      </c>
      <c r="I5" s="286">
        <v>500</v>
      </c>
      <c r="J5" s="287">
        <f>$E$5</f>
      </c>
      <c r="K5" s="287">
        <v>1920</v>
      </c>
      <c r="L5" s="287">
        <v>0</v>
      </c>
      <c r="M5" s="287">
        <v>0</v>
      </c>
      <c r="N5" s="288">
        <f>IF(AND(ABS($J$5-$K$5)&lt;0.000001,$L$5=$M$5),"通过","失败")</f>
      </c>
      <c r="O5" s="285" t="s">
        <v>1195</v>
      </c>
      <c r="P5" s="285" t="s">
        <v>1196</v>
      </c>
    </row>
    <row r="6">
      <c r="A6" s="285" t="s">
        <v>1204</v>
      </c>
      <c r="B6" s="285" t="s">
        <v>1205</v>
      </c>
      <c r="C6" s="285" t="s">
        <v>1206</v>
      </c>
      <c r="D6" s="286">
        <f>'定价推演 （最终）'!$D$3</f>
      </c>
      <c r="E6" s="286">
        <f>'定价推演 （最终）'!$D$20</f>
      </c>
      <c r="F6" s="286">
        <v>0.5</v>
      </c>
      <c r="G6" s="286">
        <v>1000</v>
      </c>
      <c r="H6" s="286">
        <v>2700</v>
      </c>
      <c r="I6" s="286">
        <v>500</v>
      </c>
      <c r="J6" s="287">
        <f>$E$6</f>
      </c>
      <c r="K6" s="287">
        <v>2499</v>
      </c>
      <c r="L6" s="287">
        <f>$H$6</f>
      </c>
      <c r="M6" s="287">
        <v>2700</v>
      </c>
      <c r="N6" s="288">
        <f>IF(AND(ABS($J$6-$K$6)&lt;0.000001,$L$6=$M$6),"通过","失败")</f>
      </c>
      <c r="O6" s="285" t="s">
        <v>1195</v>
      </c>
      <c r="P6" s="285" t="s">
        <v>1196</v>
      </c>
    </row>
    <row r="7">
      <c r="A7" s="285" t="s">
        <v>1207</v>
      </c>
      <c r="B7" s="285" t="s">
        <v>1208</v>
      </c>
      <c r="C7" s="285" t="s">
        <v>1194</v>
      </c>
      <c r="D7" s="286">
        <f>'定价推演 （最终）'!$D$3</f>
      </c>
      <c r="E7" s="286">
        <f>'定价推演 （最终）'!$D$15</f>
      </c>
      <c r="F7" s="286">
        <v>0.5</v>
      </c>
      <c r="G7" s="286">
        <v>1000</v>
      </c>
      <c r="H7" s="286">
        <v>1000</v>
      </c>
      <c r="I7" s="286">
        <v>0</v>
      </c>
      <c r="J7" s="287">
        <f>($E$7-$D$7)*$F$7</f>
      </c>
      <c r="K7" s="287">
        <v>75.5</v>
      </c>
      <c r="L7" s="287">
        <f>ROUNDUP(($H$7-$G$7)*$F$7,0)</f>
      </c>
      <c r="M7" s="287">
        <v>0</v>
      </c>
      <c r="N7" s="288">
        <f>IF(AND(ABS($J$7-$K$7)&lt;0.000001,$L$7=$M$7),"通过","失败")</f>
      </c>
      <c r="O7" s="285" t="s">
        <v>1195</v>
      </c>
      <c r="P7" s="285" t="s">
        <v>1196</v>
      </c>
    </row>
    <row r="8">
      <c r="A8" s="285" t="s">
        <v>1209</v>
      </c>
      <c r="B8" s="285" t="s">
        <v>1210</v>
      </c>
      <c r="C8" s="285" t="s">
        <v>1206</v>
      </c>
      <c r="D8" s="286">
        <f>'定价推演 （最终）'!$D$3</f>
      </c>
      <c r="E8" s="286">
        <f>'定价推演 （最终）'!$D$20</f>
      </c>
      <c r="F8" s="286">
        <v>0.5</v>
      </c>
      <c r="G8" s="286">
        <v>1000</v>
      </c>
      <c r="H8" s="286">
        <v>2700</v>
      </c>
      <c r="I8" s="286">
        <v>0</v>
      </c>
      <c r="J8" s="287">
        <f>$E$8</f>
      </c>
      <c r="K8" s="287">
        <v>2499</v>
      </c>
      <c r="L8" s="287">
        <f>$H$8</f>
      </c>
      <c r="M8" s="287">
        <v>2700</v>
      </c>
      <c r="N8" s="288">
        <f>IF(AND(ABS($J$8-$K$8)&lt;0.000001,$L$8=$M$8),"通过","失败")</f>
      </c>
      <c r="O8" s="285" t="s">
        <v>1195</v>
      </c>
      <c r="P8" s="285" t="s">
        <v>1196</v>
      </c>
    </row>
    <row r="9">
      <c r="A9" s="285" t="s">
        <v>1211</v>
      </c>
      <c r="B9" s="285" t="s">
        <v>1212</v>
      </c>
      <c r="C9" s="285" t="s">
        <v>1194</v>
      </c>
      <c r="D9" s="286">
        <f>'定价推演 （最终）'!$D$3</f>
      </c>
      <c r="E9" s="286">
        <f>'定价推演 （最终）'!$D$6</f>
      </c>
      <c r="F9" s="286">
        <v>1</v>
      </c>
      <c r="G9" s="286">
        <v>1000</v>
      </c>
      <c r="H9" s="286">
        <v>2700</v>
      </c>
      <c r="I9" s="286">
        <v>500</v>
      </c>
      <c r="J9" s="287">
        <f>($E$9-$D$9)*$F$9</f>
      </c>
      <c r="K9" s="287">
        <v>80</v>
      </c>
      <c r="L9" s="287">
        <f>ROUNDUP(($H$9-$G$9)*$F$9,0)</f>
      </c>
      <c r="M9" s="287">
        <v>1700</v>
      </c>
      <c r="N9" s="288">
        <f>IF(AND(ABS($J$9-$K$9)&lt;0.000001,$L$9=$M$9),"通过","失败")</f>
      </c>
      <c r="O9" s="285" t="s">
        <v>1195</v>
      </c>
      <c r="P9" s="285" t="s">
        <v>1196</v>
      </c>
    </row>
    <row r="10">
      <c r="A10" s="285" t="s">
        <v>1213</v>
      </c>
      <c r="B10" s="285" t="s">
        <v>1214</v>
      </c>
      <c r="C10" s="285" t="s">
        <v>1194</v>
      </c>
      <c r="D10" s="286">
        <f>'定价推演 （最终）'!$D$3</f>
      </c>
      <c r="E10" s="286">
        <f>'定价推演 （最终）'!$D$6</f>
      </c>
      <c r="F10" s="286">
        <v>0</v>
      </c>
      <c r="G10" s="286">
        <v>1000</v>
      </c>
      <c r="H10" s="286">
        <v>2700</v>
      </c>
      <c r="I10" s="286">
        <v>0</v>
      </c>
      <c r="J10" s="287">
        <f>($E$10-$D$10)*$F$10</f>
      </c>
      <c r="K10" s="287">
        <v>0</v>
      </c>
      <c r="L10" s="287">
        <f>ROUNDUP(($H$10-$G$10)*$F$10,0)</f>
      </c>
      <c r="M10" s="287">
        <v>0</v>
      </c>
      <c r="N10" s="288">
        <f>IF(AND(ABS($J$10-$K$10)&lt;0.000001,$L$10=$M$10),"通过","失败")</f>
      </c>
      <c r="O10" s="285" t="s">
        <v>1195</v>
      </c>
      <c r="P10" s="285" t="s">
        <v>1196</v>
      </c>
    </row>
    <row r="11">
      <c r="A11" s="285" t="s">
        <v>1215</v>
      </c>
      <c r="B11" s="285" t="s">
        <v>1216</v>
      </c>
      <c r="C11" s="285" t="s">
        <v>1194</v>
      </c>
      <c r="D11" s="286">
        <f>'定价推演 （最终）'!$D$4</f>
      </c>
      <c r="E11" s="286">
        <f>'定价推演 （最终）'!$D$6</f>
      </c>
      <c r="F11" s="286">
        <v>0.5</v>
      </c>
      <c r="G11" s="286">
        <v>1000</v>
      </c>
      <c r="H11" s="286">
        <v>2700</v>
      </c>
      <c r="I11" s="286">
        <v>500</v>
      </c>
      <c r="J11" s="287">
        <f>($E$11-$D$11)*$F$11</f>
      </c>
      <c r="K11" s="287">
        <v>45</v>
      </c>
      <c r="L11" s="287">
        <f>ROUNDUP(($H$11-$G$11)*$F$11,0)</f>
      </c>
      <c r="M11" s="287">
        <v>850</v>
      </c>
      <c r="N11" s="288">
        <f>IF(AND(ABS($J$11-$K$11)&lt;0.000001,$L$11=$M$11),"通过","失败")</f>
      </c>
      <c r="O11" s="285" t="s">
        <v>1195</v>
      </c>
      <c r="P11" s="285" t="s">
        <v>1196</v>
      </c>
    </row>
    <row r="12">
      <c r="A12" s="285" t="s">
        <v>1217</v>
      </c>
      <c r="B12" s="285" t="s">
        <v>1218</v>
      </c>
      <c r="C12" s="285" t="s">
        <v>1219</v>
      </c>
      <c r="D12" s="286">
        <v>0</v>
      </c>
      <c r="E12" s="286">
        <f>'定价推演 （最终）'!$D$4</f>
      </c>
      <c r="F12" s="286">
        <v>1</v>
      </c>
      <c r="G12" s="286">
        <v>0</v>
      </c>
      <c r="H12" s="286">
        <v>1000</v>
      </c>
      <c r="I12" s="286">
        <v>500</v>
      </c>
      <c r="J12" s="287">
        <f>$E$12</f>
      </c>
      <c r="K12" s="287">
        <v>39</v>
      </c>
      <c r="L12" s="287">
        <f>$H$12</f>
      </c>
      <c r="M12" s="287">
        <v>1000</v>
      </c>
      <c r="N12" s="288">
        <f>IF(AND(ABS($J$12-$K$12)&lt;0.000001,$L$12=$M$12),"通过","失败")</f>
      </c>
      <c r="O12" s="285" t="s">
        <v>1195</v>
      </c>
      <c r="P12" s="285" t="s">
        <v>1196</v>
      </c>
    </row>
    <row r="13">
      <c r="A13" s="285" t="s">
        <v>1220</v>
      </c>
      <c r="B13" s="285" t="s">
        <v>1221</v>
      </c>
      <c r="C13" s="285" t="s">
        <v>1219</v>
      </c>
      <c r="D13" s="286">
        <v>0</v>
      </c>
      <c r="E13" s="286">
        <f>'定价推演 （最终）'!$D$16</f>
      </c>
      <c r="F13" s="286">
        <v>1</v>
      </c>
      <c r="G13" s="286">
        <v>0</v>
      </c>
      <c r="H13" s="286">
        <v>1000</v>
      </c>
      <c r="I13" s="286">
        <v>500</v>
      </c>
      <c r="J13" s="287">
        <f>$E$13</f>
      </c>
      <c r="K13" s="287">
        <v>189</v>
      </c>
      <c r="L13" s="287">
        <f>$H$13</f>
      </c>
      <c r="M13" s="287">
        <v>1000</v>
      </c>
      <c r="N13" s="288">
        <f>IF(AND(ABS($J$13-$K$13)&lt;0.000001,$L$13=$M$13),"通过","失败")</f>
      </c>
      <c r="O13" s="285" t="s">
        <v>1195</v>
      </c>
      <c r="P13" s="285" t="s">
        <v>1196</v>
      </c>
    </row>
    <row r="14">
      <c r="A14" s="285" t="s">
        <v>1222</v>
      </c>
      <c r="B14" s="285" t="s">
        <v>1223</v>
      </c>
      <c r="C14" s="285" t="s">
        <v>1219</v>
      </c>
      <c r="D14" s="286">
        <v>0</v>
      </c>
      <c r="E14" s="286">
        <f>'定价推演 （最终）'!$D$8</f>
      </c>
      <c r="F14" s="286">
        <v>1</v>
      </c>
      <c r="G14" s="286">
        <v>0</v>
      </c>
      <c r="H14" s="286">
        <v>2700</v>
      </c>
      <c r="I14" s="286">
        <v>500</v>
      </c>
      <c r="J14" s="287">
        <f>$E$14</f>
      </c>
      <c r="K14" s="287">
        <v>999</v>
      </c>
      <c r="L14" s="287">
        <f>$H$14</f>
      </c>
      <c r="M14" s="287">
        <v>2700</v>
      </c>
      <c r="N14" s="288">
        <f>IF(AND(ABS($J$14-$K$14)&lt;0.000001,$L$14=$M$14),"通过","失败")</f>
      </c>
      <c r="O14" s="285" t="s">
        <v>1195</v>
      </c>
      <c r="P14" s="285" t="s">
        <v>1196</v>
      </c>
    </row>
    <row r="15">
      <c r="A15" s="285" t="s">
        <v>1224</v>
      </c>
      <c r="B15" s="285" t="s">
        <v>1225</v>
      </c>
      <c r="C15" s="285" t="s">
        <v>1219</v>
      </c>
      <c r="D15" s="286">
        <v>0</v>
      </c>
      <c r="E15" s="286">
        <f>'定价推演 （最终）'!$D$26</f>
      </c>
      <c r="F15" s="286">
        <v>1</v>
      </c>
      <c r="G15" s="286">
        <v>0</v>
      </c>
      <c r="H15" s="286">
        <v>13000</v>
      </c>
      <c r="I15" s="286">
        <v>500</v>
      </c>
      <c r="J15" s="287">
        <f>$E$15</f>
      </c>
      <c r="K15" s="287">
        <v>5499</v>
      </c>
      <c r="L15" s="287">
        <f>$H$15</f>
      </c>
      <c r="M15" s="287">
        <v>13000</v>
      </c>
      <c r="N15" s="288">
        <f>IF(AND(ABS($J$15-$K$15)&lt;0.000001,$L$15=$M$15),"通过","失败")</f>
      </c>
      <c r="O15" s="285" t="s">
        <v>1195</v>
      </c>
      <c r="P15" s="285" t="s">
        <v>1196</v>
      </c>
    </row>
    <row r="16">
      <c r="A16" s="285" t="s">
        <v>1226</v>
      </c>
      <c r="B16" s="285" t="s">
        <v>1227</v>
      </c>
      <c r="C16" s="285" t="s">
        <v>1219</v>
      </c>
      <c r="D16" s="286">
        <f>'定价推演 （最终）'!$D$9</f>
      </c>
      <c r="E16" s="286">
        <f>'定价推演 （最终）'!$D$9</f>
      </c>
      <c r="F16" s="286">
        <v>1</v>
      </c>
      <c r="G16" s="286">
        <v>6000</v>
      </c>
      <c r="H16" s="286">
        <v>6000</v>
      </c>
      <c r="I16" s="286">
        <v>500</v>
      </c>
      <c r="J16" s="287">
        <f>$E$16</f>
      </c>
      <c r="K16" s="287">
        <v>269</v>
      </c>
      <c r="L16" s="287">
        <f>$H$16</f>
      </c>
      <c r="M16" s="287">
        <v>6000</v>
      </c>
      <c r="N16" s="288">
        <f>IF(AND(ABS($J$16-$K$16)&lt;0.000001,$L$16=$M$16),"通过","失败")</f>
      </c>
      <c r="O16" s="285" t="s">
        <v>1195</v>
      </c>
      <c r="P16" s="285" t="s">
        <v>1196</v>
      </c>
    </row>
    <row r="17">
      <c r="A17" s="285" t="s">
        <v>1228</v>
      </c>
      <c r="B17" s="285" t="s">
        <v>1229</v>
      </c>
      <c r="C17" s="285" t="s">
        <v>1219</v>
      </c>
      <c r="D17" s="286">
        <f>'定价推演 （最终）'!$D$24</f>
      </c>
      <c r="E17" s="286">
        <f>'定价推演 （最终）'!$D$24</f>
      </c>
      <c r="F17" s="286">
        <v>1</v>
      </c>
      <c r="G17" s="286">
        <v>13000</v>
      </c>
      <c r="H17" s="286">
        <v>13000</v>
      </c>
      <c r="I17" s="286">
        <v>500</v>
      </c>
      <c r="J17" s="287">
        <f>$E$17</f>
      </c>
      <c r="K17" s="287">
        <v>719</v>
      </c>
      <c r="L17" s="287">
        <f>$H$17</f>
      </c>
      <c r="M17" s="287">
        <v>13000</v>
      </c>
      <c r="N17" s="288">
        <f>IF(AND(ABS($J$17-$K$17)&lt;0.000001,$L$17=$M$17),"通过","失败")</f>
      </c>
      <c r="O17" s="285" t="s">
        <v>1195</v>
      </c>
      <c r="P17" s="285" t="s">
        <v>1196</v>
      </c>
    </row>
    <row r="18">
      <c r="A18" s="285" t="s">
        <v>1230</v>
      </c>
      <c r="B18" s="285" t="s">
        <v>1230</v>
      </c>
      <c r="C18" s="285" t="s">
        <v>1230</v>
      </c>
      <c r="D18" s="285" t="s">
        <v>1230</v>
      </c>
      <c r="E18" s="285" t="s">
        <v>1230</v>
      </c>
      <c r="F18" s="285" t="s">
        <v>1230</v>
      </c>
      <c r="G18" s="285" t="s">
        <v>1230</v>
      </c>
      <c r="H18" s="285" t="s">
        <v>1230</v>
      </c>
      <c r="I18" s="285" t="s">
        <v>1230</v>
      </c>
      <c r="J18" s="285" t="s">
        <v>1230</v>
      </c>
      <c r="K18" s="285" t="s">
        <v>1230</v>
      </c>
      <c r="L18" s="285" t="s">
        <v>1230</v>
      </c>
      <c r="M18" s="285" t="s">
        <v>1230</v>
      </c>
      <c r="N18" s="285" t="s">
        <v>1230</v>
      </c>
      <c r="O18" s="285" t="s">
        <v>1230</v>
      </c>
      <c r="P18" s="285" t="s">
        <v>1230</v>
      </c>
    </row>
    <row r="19">
      <c r="A19" s="285" t="s">
        <v>1191</v>
      </c>
      <c r="B19" s="285" t="s">
        <v>1231</v>
      </c>
      <c r="C19" s="285" t="s">
        <v>1230</v>
      </c>
      <c r="D19" s="285" t="s">
        <v>1230</v>
      </c>
      <c r="E19" s="285" t="s">
        <v>1230</v>
      </c>
      <c r="F19" s="285" t="s">
        <v>1230</v>
      </c>
      <c r="G19" s="285" t="s">
        <v>1230</v>
      </c>
      <c r="H19" s="285" t="s">
        <v>1230</v>
      </c>
      <c r="I19" s="285" t="s">
        <v>1230</v>
      </c>
      <c r="J19" s="285" t="s">
        <v>1230</v>
      </c>
      <c r="K19" s="285" t="s">
        <v>1230</v>
      </c>
      <c r="L19" s="285" t="s">
        <v>1230</v>
      </c>
      <c r="M19" s="285" t="s">
        <v>1230</v>
      </c>
      <c r="N19" s="285" t="s">
        <v>1230</v>
      </c>
      <c r="O19" s="285" t="s">
        <v>1230</v>
      </c>
      <c r="P19" s="285" t="s">
        <v>1230</v>
      </c>
    </row>
    <row r="20">
      <c r="A20" s="285" t="s">
        <v>1230</v>
      </c>
      <c r="B20" s="285" t="s">
        <v>1230</v>
      </c>
      <c r="C20" s="285" t="s">
        <v>1230</v>
      </c>
      <c r="D20" s="285" t="s">
        <v>1230</v>
      </c>
      <c r="E20" s="285" t="s">
        <v>1230</v>
      </c>
      <c r="F20" s="285" t="s">
        <v>1230</v>
      </c>
      <c r="G20" s="285" t="s">
        <v>1230</v>
      </c>
      <c r="H20" s="285" t="s">
        <v>1230</v>
      </c>
      <c r="I20" s="285" t="s">
        <v>1230</v>
      </c>
      <c r="J20" s="285" t="s">
        <v>1230</v>
      </c>
      <c r="K20" s="285" t="s">
        <v>1230</v>
      </c>
      <c r="L20" s="285" t="s">
        <v>1230</v>
      </c>
      <c r="M20" s="285" t="s">
        <v>1230</v>
      </c>
      <c r="N20" s="285" t="s">
        <v>1230</v>
      </c>
      <c r="O20" s="285" t="s">
        <v>1230</v>
      </c>
      <c r="P20" s="285" t="s">
        <v>1230</v>
      </c>
    </row>
    <row r="21">
      <c r="A21" s="284" t="s">
        <v>1232</v>
      </c>
      <c r="B21" s="284" t="s">
        <v>1233</v>
      </c>
      <c r="C21" s="284" t="s">
        <v>1234</v>
      </c>
      <c r="D21" s="284" t="s">
        <v>1235</v>
      </c>
      <c r="E21" s="285" t="s">
        <v>1230</v>
      </c>
      <c r="F21" s="285" t="s">
        <v>1230</v>
      </c>
      <c r="G21" s="285" t="s">
        <v>1230</v>
      </c>
      <c r="H21" s="285" t="s">
        <v>1230</v>
      </c>
      <c r="I21" s="285" t="s">
        <v>1230</v>
      </c>
      <c r="J21" s="285" t="s">
        <v>1230</v>
      </c>
      <c r="K21" s="285" t="s">
        <v>1230</v>
      </c>
      <c r="L21" s="285" t="s">
        <v>1230</v>
      </c>
      <c r="M21" s="285" t="s">
        <v>1230</v>
      </c>
      <c r="N21" s="285" t="s">
        <v>1230</v>
      </c>
      <c r="O21" s="285" t="s">
        <v>1230</v>
      </c>
      <c r="P21" s="285" t="s">
        <v>1230</v>
      </c>
    </row>
    <row r="22">
      <c r="A22" s="285" t="s">
        <v>1236</v>
      </c>
      <c r="B22" s="285" t="s">
        <v>1237</v>
      </c>
      <c r="C22" s="285" t="s">
        <v>1238</v>
      </c>
      <c r="D22" s="285" t="s">
        <v>1239</v>
      </c>
      <c r="E22" s="285" t="s">
        <v>1230</v>
      </c>
      <c r="F22" s="285" t="s">
        <v>1230</v>
      </c>
      <c r="G22" s="285" t="s">
        <v>1230</v>
      </c>
      <c r="H22" s="285" t="s">
        <v>1230</v>
      </c>
      <c r="I22" s="285" t="s">
        <v>1230</v>
      </c>
      <c r="J22" s="285" t="s">
        <v>1230</v>
      </c>
      <c r="K22" s="285" t="s">
        <v>1230</v>
      </c>
      <c r="L22" s="285" t="s">
        <v>1230</v>
      </c>
      <c r="M22" s="285" t="s">
        <v>1230</v>
      </c>
      <c r="N22" s="285" t="s">
        <v>1230</v>
      </c>
      <c r="O22" s="285" t="s">
        <v>1230</v>
      </c>
      <c r="P22" s="285" t="s">
        <v>1230</v>
      </c>
    </row>
    <row r="23">
      <c r="A23" s="285" t="s">
        <v>1240</v>
      </c>
      <c r="B23" s="285" t="s">
        <v>1241</v>
      </c>
      <c r="C23" s="285" t="s">
        <v>1242</v>
      </c>
      <c r="D23" s="285" t="s">
        <v>1243</v>
      </c>
      <c r="E23" s="285" t="s">
        <v>1230</v>
      </c>
      <c r="F23" s="285" t="s">
        <v>1230</v>
      </c>
      <c r="G23" s="285" t="s">
        <v>1230</v>
      </c>
      <c r="H23" s="285" t="s">
        <v>1230</v>
      </c>
      <c r="I23" s="285" t="s">
        <v>1230</v>
      </c>
      <c r="J23" s="285" t="s">
        <v>1230</v>
      </c>
      <c r="K23" s="285" t="s">
        <v>1230</v>
      </c>
      <c r="L23" s="285" t="s">
        <v>1230</v>
      </c>
      <c r="M23" s="285" t="s">
        <v>1230</v>
      </c>
      <c r="N23" s="285" t="s">
        <v>1230</v>
      </c>
      <c r="O23" s="285" t="s">
        <v>1230</v>
      </c>
      <c r="P23" s="285" t="s">
        <v>1230</v>
      </c>
    </row>
    <row r="24">
      <c r="A24" s="285" t="s">
        <v>1244</v>
      </c>
      <c r="B24" s="285" t="s">
        <v>1245</v>
      </c>
      <c r="C24" s="285" t="s">
        <v>1246</v>
      </c>
      <c r="D24" s="285" t="s">
        <v>1247</v>
      </c>
      <c r="E24" s="285" t="s">
        <v>1230</v>
      </c>
      <c r="F24" s="285" t="s">
        <v>1230</v>
      </c>
      <c r="G24" s="285" t="s">
        <v>1230</v>
      </c>
      <c r="H24" s="285" t="s">
        <v>1230</v>
      </c>
      <c r="I24" s="285" t="s">
        <v>1230</v>
      </c>
      <c r="J24" s="285" t="s">
        <v>1230</v>
      </c>
      <c r="K24" s="285" t="s">
        <v>1230</v>
      </c>
      <c r="L24" s="285" t="s">
        <v>1230</v>
      </c>
      <c r="M24" s="285" t="s">
        <v>1230</v>
      </c>
      <c r="N24" s="285" t="s">
        <v>1230</v>
      </c>
      <c r="O24" s="285" t="s">
        <v>1230</v>
      </c>
      <c r="P24" s="285" t="s">
        <v>1230</v>
      </c>
    </row>
    <row r="25">
      <c r="A25" s="285" t="s">
        <v>1248</v>
      </c>
      <c r="B25" s="285" t="s">
        <v>1249</v>
      </c>
      <c r="C25" s="285" t="s">
        <v>1250</v>
      </c>
      <c r="D25" s="285" t="s">
        <v>1251</v>
      </c>
      <c r="E25" s="285" t="s">
        <v>1230</v>
      </c>
      <c r="F25" s="285" t="s">
        <v>1230</v>
      </c>
      <c r="G25" s="285" t="s">
        <v>1230</v>
      </c>
      <c r="H25" s="285" t="s">
        <v>1230</v>
      </c>
      <c r="I25" s="285" t="s">
        <v>1230</v>
      </c>
      <c r="J25" s="285" t="s">
        <v>1230</v>
      </c>
      <c r="K25" s="285" t="s">
        <v>1230</v>
      </c>
      <c r="L25" s="285" t="s">
        <v>1230</v>
      </c>
      <c r="M25" s="285" t="s">
        <v>1230</v>
      </c>
      <c r="N25" s="285" t="s">
        <v>1230</v>
      </c>
      <c r="O25" s="285" t="s">
        <v>1230</v>
      </c>
      <c r="P25" s="285" t="s">
        <v>1230</v>
      </c>
    </row>
    <row r="26">
      <c r="A26" s="285" t="s">
        <v>1252</v>
      </c>
      <c r="B26" s="285" t="s">
        <v>1253</v>
      </c>
      <c r="C26" s="285" t="s">
        <v>1254</v>
      </c>
      <c r="D26" s="285" t="s">
        <v>1255</v>
      </c>
      <c r="E26" s="285" t="s">
        <v>1230</v>
      </c>
      <c r="F26" s="285" t="s">
        <v>1230</v>
      </c>
      <c r="G26" s="285" t="s">
        <v>1230</v>
      </c>
      <c r="H26" s="285" t="s">
        <v>1230</v>
      </c>
      <c r="I26" s="285" t="s">
        <v>1230</v>
      </c>
      <c r="J26" s="285" t="s">
        <v>1230</v>
      </c>
      <c r="K26" s="285" t="s">
        <v>1230</v>
      </c>
      <c r="L26" s="285" t="s">
        <v>1230</v>
      </c>
      <c r="M26" s="285" t="s">
        <v>1230</v>
      </c>
      <c r="N26" s="285" t="s">
        <v>1230</v>
      </c>
      <c r="O26" s="285" t="s">
        <v>1230</v>
      </c>
      <c r="P26" s="285" t="s">
        <v>1230</v>
      </c>
    </row>
    <row r="27">
      <c r="A27" s="285" t="s">
        <v>1256</v>
      </c>
      <c r="B27" s="285" t="s">
        <v>1257</v>
      </c>
      <c r="C27" s="285" t="s">
        <v>1258</v>
      </c>
      <c r="D27" s="285" t="s">
        <v>1259</v>
      </c>
      <c r="E27" s="285" t="s">
        <v>1230</v>
      </c>
      <c r="F27" s="285" t="s">
        <v>1230</v>
      </c>
      <c r="G27" s="285" t="s">
        <v>1230</v>
      </c>
      <c r="H27" s="285" t="s">
        <v>1230</v>
      </c>
      <c r="I27" s="285" t="s">
        <v>1230</v>
      </c>
      <c r="J27" s="285" t="s">
        <v>1230</v>
      </c>
      <c r="K27" s="285" t="s">
        <v>1230</v>
      </c>
      <c r="L27" s="285" t="s">
        <v>1230</v>
      </c>
      <c r="M27" s="285" t="s">
        <v>1230</v>
      </c>
      <c r="N27" s="285" t="s">
        <v>1230</v>
      </c>
      <c r="O27" s="285" t="s">
        <v>1230</v>
      </c>
      <c r="P27" s="285" t="s">
        <v>1230</v>
      </c>
    </row>
    <row r="28">
      <c r="A28" s="285" t="s">
        <v>1260</v>
      </c>
      <c r="B28" s="285" t="s">
        <v>1261</v>
      </c>
      <c r="C28" s="285" t="s">
        <v>1262</v>
      </c>
      <c r="D28" s="285" t="s">
        <v>1255</v>
      </c>
      <c r="E28" s="285" t="s">
        <v>1230</v>
      </c>
      <c r="F28" s="285" t="s">
        <v>1230</v>
      </c>
      <c r="G28" s="285" t="s">
        <v>1230</v>
      </c>
      <c r="H28" s="285" t="s">
        <v>1230</v>
      </c>
      <c r="I28" s="285" t="s">
        <v>1230</v>
      </c>
      <c r="J28" s="285" t="s">
        <v>1230</v>
      </c>
      <c r="K28" s="285" t="s">
        <v>1230</v>
      </c>
      <c r="L28" s="285" t="s">
        <v>1230</v>
      </c>
      <c r="M28" s="285" t="s">
        <v>1230</v>
      </c>
      <c r="N28" s="285" t="s">
        <v>1230</v>
      </c>
      <c r="O28" s="285" t="s">
        <v>1230</v>
      </c>
      <c r="P28" s="285" t="s">
        <v>1230</v>
      </c>
    </row>
    <row r="29">
      <c r="A29" s="285" t="s">
        <v>1263</v>
      </c>
      <c r="B29" s="285" t="s">
        <v>1264</v>
      </c>
      <c r="C29" s="285" t="s">
        <v>1265</v>
      </c>
      <c r="D29" s="285" t="s">
        <v>1266</v>
      </c>
      <c r="E29" s="285" t="s">
        <v>1230</v>
      </c>
      <c r="F29" s="285" t="s">
        <v>1230</v>
      </c>
      <c r="G29" s="285" t="s">
        <v>1230</v>
      </c>
      <c r="H29" s="285" t="s">
        <v>1230</v>
      </c>
      <c r="I29" s="285" t="s">
        <v>1230</v>
      </c>
      <c r="J29" s="285" t="s">
        <v>1230</v>
      </c>
      <c r="K29" s="285" t="s">
        <v>1230</v>
      </c>
      <c r="L29" s="285" t="s">
        <v>1230</v>
      </c>
      <c r="M29" s="285" t="s">
        <v>1230</v>
      </c>
      <c r="N29" s="285" t="s">
        <v>1230</v>
      </c>
      <c r="O29" s="285" t="s">
        <v>1230</v>
      </c>
      <c r="P29" s="285" t="s">
        <v>1230</v>
      </c>
    </row>
    <row r="30">
      <c r="A30" s="285" t="s">
        <v>1230</v>
      </c>
      <c r="B30" s="285" t="s">
        <v>1230</v>
      </c>
      <c r="C30" s="285" t="s">
        <v>1230</v>
      </c>
      <c r="D30" s="285" t="s">
        <v>1230</v>
      </c>
      <c r="E30" s="285" t="s">
        <v>1230</v>
      </c>
      <c r="F30" s="285" t="s">
        <v>1230</v>
      </c>
      <c r="G30" s="285" t="s">
        <v>1230</v>
      </c>
      <c r="H30" s="285" t="s">
        <v>1230</v>
      </c>
      <c r="I30" s="285" t="s">
        <v>1230</v>
      </c>
      <c r="J30" s="285" t="s">
        <v>1230</v>
      </c>
      <c r="K30" s="285" t="s">
        <v>1230</v>
      </c>
      <c r="L30" s="285" t="s">
        <v>1230</v>
      </c>
      <c r="M30" s="285" t="s">
        <v>1230</v>
      </c>
      <c r="N30" s="285" t="s">
        <v>1230</v>
      </c>
      <c r="O30" s="285" t="s">
        <v>1230</v>
      </c>
      <c r="P30" s="285" t="s">
        <v>1230</v>
      </c>
    </row>
    <row r="31">
      <c r="A31" s="284" t="s">
        <v>1267</v>
      </c>
      <c r="B31" s="284" t="s">
        <v>1268</v>
      </c>
      <c r="C31" s="284" t="s">
        <v>1269</v>
      </c>
      <c r="D31" s="284" t="s">
        <v>1270</v>
      </c>
      <c r="E31" s="285" t="s">
        <v>1230</v>
      </c>
      <c r="F31" s="285" t="s">
        <v>1230</v>
      </c>
      <c r="G31" s="285" t="s">
        <v>1230</v>
      </c>
      <c r="H31" s="285" t="s">
        <v>1230</v>
      </c>
      <c r="I31" s="285" t="s">
        <v>1230</v>
      </c>
      <c r="J31" s="285" t="s">
        <v>1230</v>
      </c>
      <c r="K31" s="285" t="s">
        <v>1230</v>
      </c>
      <c r="L31" s="285" t="s">
        <v>1230</v>
      </c>
      <c r="M31" s="285" t="s">
        <v>1230</v>
      </c>
      <c r="N31" s="285" t="s">
        <v>1230</v>
      </c>
      <c r="O31" s="285" t="s">
        <v>1230</v>
      </c>
      <c r="P31" s="285" t="s">
        <v>1230</v>
      </c>
    </row>
    <row r="32">
      <c r="A32" s="285" t="s">
        <v>1271</v>
      </c>
      <c r="B32" s="285" t="s">
        <v>1272</v>
      </c>
      <c r="C32" s="285">
        <f>'定价推演 （最终）'!$D$5/12</f>
      </c>
      <c r="D32" s="285">
        <v>33.25</v>
      </c>
      <c r="E32" s="285" t="s">
        <v>1230</v>
      </c>
      <c r="F32" s="285" t="s">
        <v>1230</v>
      </c>
      <c r="G32" s="285" t="s">
        <v>1230</v>
      </c>
      <c r="H32" s="285" t="s">
        <v>1230</v>
      </c>
      <c r="I32" s="285" t="s">
        <v>1230</v>
      </c>
      <c r="J32" s="285" t="s">
        <v>1230</v>
      </c>
      <c r="K32" s="285" t="s">
        <v>1230</v>
      </c>
      <c r="L32" s="285" t="s">
        <v>1230</v>
      </c>
      <c r="M32" s="285" t="s">
        <v>1230</v>
      </c>
      <c r="N32" s="285" t="s">
        <v>1230</v>
      </c>
      <c r="O32" s="285" t="s">
        <v>1230</v>
      </c>
      <c r="P32" s="285" t="s">
        <v>1230</v>
      </c>
    </row>
    <row r="33">
      <c r="A33" s="285" t="s">
        <v>1273</v>
      </c>
      <c r="B33" s="285" t="s">
        <v>1274</v>
      </c>
      <c r="C33" s="285">
        <f>'定价推演 （最终）'!$D$3*12-'定价推演 （最终）'!$D$5</f>
      </c>
      <c r="D33" s="285">
        <v>189</v>
      </c>
      <c r="E33" s="285" t="s">
        <v>1230</v>
      </c>
      <c r="F33" s="285" t="s">
        <v>1230</v>
      </c>
      <c r="G33" s="285" t="s">
        <v>1230</v>
      </c>
      <c r="H33" s="285" t="s">
        <v>1230</v>
      </c>
      <c r="I33" s="285" t="s">
        <v>1230</v>
      </c>
      <c r="J33" s="285" t="s">
        <v>1230</v>
      </c>
      <c r="K33" s="285" t="s">
        <v>1230</v>
      </c>
      <c r="L33" s="285" t="s">
        <v>1230</v>
      </c>
      <c r="M33" s="285" t="s">
        <v>1230</v>
      </c>
      <c r="N33" s="285" t="s">
        <v>1230</v>
      </c>
      <c r="O33" s="285" t="s">
        <v>1230</v>
      </c>
      <c r="P33" s="285" t="s">
        <v>1230</v>
      </c>
    </row>
    <row r="34">
      <c r="A34" s="285" t="s">
        <v>1275</v>
      </c>
      <c r="B34" s="285" t="s">
        <v>1276</v>
      </c>
      <c r="C34" s="285">
        <f>'定价推演 （最终）'!$D$4+'定价推演 （最终）'!$D$3*11</f>
      </c>
      <c r="D34" s="285">
        <v>578</v>
      </c>
      <c r="E34" s="285" t="s">
        <v>1230</v>
      </c>
      <c r="F34" s="285" t="s">
        <v>1230</v>
      </c>
      <c r="G34" s="285" t="s">
        <v>1230</v>
      </c>
      <c r="H34" s="285" t="s">
        <v>1230</v>
      </c>
      <c r="I34" s="285" t="s">
        <v>1230</v>
      </c>
      <c r="J34" s="285" t="s">
        <v>1230</v>
      </c>
      <c r="K34" s="285" t="s">
        <v>1230</v>
      </c>
      <c r="L34" s="285" t="s">
        <v>1230</v>
      </c>
      <c r="M34" s="285" t="s">
        <v>1230</v>
      </c>
      <c r="N34" s="285" t="s">
        <v>1230</v>
      </c>
      <c r="O34" s="285" t="s">
        <v>1230</v>
      </c>
      <c r="P34" s="285" t="s">
        <v>1230</v>
      </c>
    </row>
    <row r="35">
      <c r="A35" s="285" t="s">
        <v>1277</v>
      </c>
      <c r="B35" s="285" t="s">
        <v>1278</v>
      </c>
      <c r="C35" s="285">
        <f>'定价推演 （最终）'!$D$4+'定价推演 （最终）'!$D$3*11-'定价推演 （最终）'!$D$5</f>
      </c>
      <c r="D35" s="285">
        <v>179</v>
      </c>
      <c r="E35" s="285" t="s">
        <v>1230</v>
      </c>
      <c r="F35" s="285" t="s">
        <v>1230</v>
      </c>
      <c r="G35" s="285" t="s">
        <v>1230</v>
      </c>
      <c r="H35" s="285" t="s">
        <v>1230</v>
      </c>
      <c r="I35" s="285" t="s">
        <v>1230</v>
      </c>
      <c r="J35" s="285" t="s">
        <v>1230</v>
      </c>
      <c r="K35" s="285" t="s">
        <v>1230</v>
      </c>
      <c r="L35" s="285" t="s">
        <v>1230</v>
      </c>
      <c r="M35" s="285" t="s">
        <v>1230</v>
      </c>
      <c r="N35" s="285" t="s">
        <v>1230</v>
      </c>
      <c r="O35" s="285" t="s">
        <v>1230</v>
      </c>
      <c r="P35" s="285" t="s">
        <v>1230</v>
      </c>
    </row>
    <row r="36">
      <c r="A36" s="285" t="s">
        <v>1279</v>
      </c>
      <c r="B36" s="285" t="s">
        <v>1280</v>
      </c>
      <c r="C36" s="285">
        <f>'定价推演 （最终）'!$D$17/12</f>
      </c>
      <c r="D36" s="285">
        <v>160</v>
      </c>
      <c r="E36" s="285" t="s">
        <v>1230</v>
      </c>
      <c r="F36" s="285" t="s">
        <v>1230</v>
      </c>
      <c r="G36" s="285" t="s">
        <v>1230</v>
      </c>
      <c r="H36" s="285" t="s">
        <v>1230</v>
      </c>
      <c r="I36" s="285" t="s">
        <v>1230</v>
      </c>
      <c r="J36" s="285" t="s">
        <v>1230</v>
      </c>
      <c r="K36" s="285" t="s">
        <v>1230</v>
      </c>
      <c r="L36" s="285" t="s">
        <v>1230</v>
      </c>
      <c r="M36" s="285" t="s">
        <v>1230</v>
      </c>
      <c r="N36" s="285" t="s">
        <v>1230</v>
      </c>
      <c r="O36" s="285" t="s">
        <v>1230</v>
      </c>
      <c r="P36" s="285" t="s">
        <v>1230</v>
      </c>
    </row>
    <row r="37">
      <c r="A37" s="285" t="s">
        <v>1281</v>
      </c>
      <c r="B37" s="285" t="s">
        <v>1282</v>
      </c>
      <c r="C37" s="285">
        <f>'定价推演 （最终）'!$D$15*12-'定价推演 （最终）'!$D$17</f>
      </c>
      <c r="D37" s="285">
        <v>480</v>
      </c>
      <c r="E37" s="285" t="s">
        <v>1230</v>
      </c>
      <c r="F37" s="285" t="s">
        <v>1230</v>
      </c>
      <c r="G37" s="285" t="s">
        <v>1230</v>
      </c>
      <c r="H37" s="285" t="s">
        <v>1230</v>
      </c>
      <c r="I37" s="285" t="s">
        <v>1230</v>
      </c>
      <c r="J37" s="285" t="s">
        <v>1230</v>
      </c>
      <c r="K37" s="285" t="s">
        <v>1230</v>
      </c>
      <c r="L37" s="285" t="s">
        <v>1230</v>
      </c>
      <c r="M37" s="285" t="s">
        <v>1230</v>
      </c>
      <c r="N37" s="285" t="s">
        <v>1230</v>
      </c>
      <c r="O37" s="285" t="s">
        <v>1230</v>
      </c>
      <c r="P37" s="285" t="s">
        <v>1230</v>
      </c>
    </row>
  </sheetData>
  <picture r:id="rId1"/>
</worksheet>
</file>

<file path=xl/worksheets/sheet1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RowHeight="0"/>
  <cols>
    <col collapsed="false" customWidth="true" hidden="false" max="2" min="2" style="0" width="5.976952624839944"/>
    <col collapsed="false" customWidth="true" hidden="true" max="2" min="2" style="0" width="5.976952624839944"/>
    <col collapsed="false" customWidth="true" hidden="false" max="6" min="6" style="0" width="5.976952624839944"/>
    <col collapsed="false" customWidth="true" hidden="true" max="6" min="6" style="0" width="5.976952624839944"/>
    <col collapsed="false" customWidth="true" hidden="false" max="10" min="10" style="0" width="5.976952624839944"/>
    <col collapsed="false" customWidth="true" hidden="false" max="14" min="14" style="0" width="5.976952624839944"/>
    <col collapsed="false" customWidth="true" hidden="false" max="18" min="18" style="0" width="5.976952624839944"/>
    <col collapsed="false" customWidth="true" hidden="true" max="18" min="18" style="0" width="5.976952624839944"/>
    <col collapsed="false" customWidth="true" hidden="false" max="22" min="22" style="0" width="5.976952624839944"/>
    <col collapsed="false" customWidth="true" hidden="false" max="26" min="26" style="0" width="5.976952624839944"/>
    <col collapsed="false" customWidth="true" hidden="false" max="1" min="1" style="0" width="5.976952624839944"/>
    <col collapsed="false" customWidth="true" hidden="false" max="5" min="5" style="0" width="5.976952624839944"/>
    <col collapsed="false" customWidth="true" hidden="false" max="9" min="9" style="0" width="5.976952624839944"/>
    <col collapsed="false" customWidth="true" hidden="false" max="13" min="13" style="0" width="5.976952624839944"/>
    <col collapsed="false" customWidth="true" hidden="false" max="17" min="17" style="0" width="5.976952624839944"/>
    <col collapsed="false" customWidth="true" hidden="false" max="21" min="21" style="0" width="5.976952624839944"/>
    <col collapsed="false" customWidth="true" hidden="false" max="25" min="25" style="0" width="5.976952624839944"/>
    <col collapsed="false" customWidth="true" hidden="false" max="4" min="4" style="0" width="5.976952624839944"/>
    <col collapsed="false" customWidth="true" hidden="false" max="8" min="8" style="0" width="5.976952624839944"/>
    <col collapsed="false" customWidth="true" hidden="false" max="12" min="12" style="0" width="5.976952624839944"/>
    <col collapsed="false" customWidth="true" hidden="false" max="16" min="16" style="0" width="5.976952624839944"/>
    <col collapsed="false" customWidth="true" hidden="true" max="16" min="16" style="0" width="5.976952624839944"/>
    <col collapsed="false" customWidth="true" hidden="false" max="20" min="20" style="0" width="5.976952624839944"/>
    <col collapsed="false" customWidth="true" hidden="true" max="20" min="20" style="0" width="5.976952624839944"/>
    <col collapsed="false" customWidth="true" hidden="false" max="24" min="24" style="0" width="5.976952624839944"/>
    <col collapsed="false" customWidth="true" hidden="false" max="28" min="28" style="0" width="5.976952624839944"/>
    <col collapsed="false" customWidth="true" hidden="false" max="3" min="3" style="0" width="5.976952624839944"/>
    <col collapsed="false" customWidth="true" hidden="false" max="7" min="7" style="0" width="5.976952624839944"/>
    <col collapsed="false" customWidth="true" hidden="false" max="11" min="11" style="0" width="5.976952624839944"/>
    <col collapsed="false" customWidth="true" hidden="false" max="15" min="15" style="0" width="5.976952624839944"/>
    <col collapsed="false" customWidth="true" hidden="false" max="19" min="19" style="0" width="5.976952624839944"/>
    <col collapsed="false" customWidth="true" hidden="false" max="23" min="23" style="0" width="5.976952624839944"/>
    <col collapsed="false" customWidth="true" hidden="false" max="27" min="27" style="0" width="5.976952624839944"/>
  </cols>
  <sheetData>
    <row customHeight="true" ht="20.238095238095237" r="1">
      <c r="A1" s="289" t="s">
        <v>1283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90"/>
      <c r="O1" s="289" t="s">
        <v>1284</v>
      </c>
      <c r="P1" s="289"/>
      <c r="Q1" s="289"/>
      <c r="R1" s="289"/>
      <c r="S1" s="289"/>
      <c r="T1" s="289"/>
      <c r="U1" s="289"/>
      <c r="V1" s="289"/>
      <c r="W1" s="289"/>
      <c r="X1" s="289"/>
      <c r="Y1" s="289"/>
      <c r="Z1" s="289"/>
      <c r="AA1" s="289"/>
      <c r="AB1" s="289"/>
    </row>
    <row customHeight="true" ht="36.904761904761905" r="2">
      <c r="A2" s="291" t="s">
        <v>1285</v>
      </c>
      <c r="B2" s="291" t="s">
        <v>1286</v>
      </c>
      <c r="C2" s="291" t="s">
        <v>1287</v>
      </c>
      <c r="D2" s="291" t="s">
        <v>1288</v>
      </c>
      <c r="E2" s="291" t="s">
        <v>1289</v>
      </c>
      <c r="F2" s="291" t="s">
        <v>1290</v>
      </c>
      <c r="G2" s="291" t="s">
        <v>1291</v>
      </c>
      <c r="H2" s="291" t="s">
        <v>1292</v>
      </c>
      <c r="I2" s="291" t="s">
        <v>1293</v>
      </c>
      <c r="J2" s="291" t="s">
        <v>1294</v>
      </c>
      <c r="K2" s="291" t="s">
        <v>1295</v>
      </c>
      <c r="L2" s="291" t="s">
        <v>1296</v>
      </c>
      <c r="M2" s="291" t="s">
        <v>1297</v>
      </c>
      <c r="N2" s="290"/>
      <c r="O2" s="291" t="s">
        <v>1285</v>
      </c>
      <c r="P2" s="291" t="s">
        <v>1286</v>
      </c>
      <c r="Q2" s="291" t="s">
        <v>1287</v>
      </c>
      <c r="R2" s="291" t="s">
        <v>1288</v>
      </c>
      <c r="S2" s="291" t="s">
        <v>1289</v>
      </c>
      <c r="T2" s="291" t="s">
        <v>1290</v>
      </c>
      <c r="U2" s="291" t="s">
        <v>1291</v>
      </c>
      <c r="V2" s="291" t="s">
        <v>1292</v>
      </c>
      <c r="W2" s="291" t="s">
        <v>1293</v>
      </c>
      <c r="X2" s="291" t="s">
        <v>1294</v>
      </c>
      <c r="Y2" s="291" t="s">
        <v>1295</v>
      </c>
      <c r="Z2" s="291" t="s">
        <v>1296</v>
      </c>
      <c r="AA2" s="291" t="s">
        <v>1297</v>
      </c>
      <c r="AB2" s="291" t="s">
        <v>1298</v>
      </c>
    </row>
    <row customHeight="true" ht="17.857142857142858" r="3">
      <c r="A3" s="292">
        <f t="shared" ref="A3:A5" si="12">$A$24</f>
      </c>
      <c r="B3" s="292" t="s">
        <v>1299</v>
      </c>
      <c r="C3" s="293">
        <f>$C$24</f>
      </c>
      <c r="D3" s="294">
        <f>$C$3/$M$23</f>
      </c>
      <c r="E3" s="295">
        <f t="shared" ref="E3:E5" si="14">$B$24</f>
      </c>
      <c r="F3" s="296">
        <f>$D$3/$E$3</f>
      </c>
      <c r="G3" s="297">
        <f>1-$C$3/$E$3*$M$24</f>
      </c>
      <c r="H3" s="298">
        <f>$C$3*12</f>
      </c>
      <c r="I3" s="297"/>
      <c r="J3" s="297"/>
      <c r="K3" s="299">
        <f>$E$3/$C$3</f>
      </c>
      <c r="L3" s="298">
        <f>$C$3/$E$3*1000</f>
      </c>
      <c r="M3" s="300"/>
      <c r="N3" s="290"/>
      <c r="O3" s="292">
        <f t="shared" ref="O3:O5" si="13">$A$24</f>
      </c>
      <c r="P3" s="292" t="s">
        <v>1299</v>
      </c>
      <c r="Q3" s="293">
        <f>$C$24+$F$24</f>
      </c>
      <c r="R3" s="294">
        <f>$Q$3/$M$23</f>
      </c>
      <c r="S3" s="295">
        <f t="shared" ref="S3:S5" si="15">$B$24</f>
      </c>
      <c r="T3" s="296">
        <f>$R$3/$S$3</f>
      </c>
      <c r="U3" s="297">
        <f>1-$Q$3/$S$3*$M$24</f>
      </c>
      <c r="V3" s="298">
        <f>$Q$3*12</f>
      </c>
      <c r="W3" s="297"/>
      <c r="X3" s="297"/>
      <c r="Y3" s="299">
        <f>$S$3/$Q$3</f>
      </c>
      <c r="Z3" s="298">
        <f>$Q$3/$S$3*1000</f>
      </c>
      <c r="AA3" s="300"/>
      <c r="AB3" s="298">
        <f>$Q$3-$C$3</f>
      </c>
    </row>
    <row customHeight="true" ht="17.857142857142858" r="4">
      <c r="A4" s="301">
        <f t="shared" si="12"/>
      </c>
      <c r="B4" s="301" t="s">
        <v>1300</v>
      </c>
      <c r="C4" s="302">
        <f>$D$24</f>
      </c>
      <c r="D4" s="303">
        <f>$C$4/$M$23</f>
      </c>
      <c r="E4" s="304">
        <f t="shared" si="14"/>
      </c>
      <c r="F4" s="305">
        <f>$D$4/$E$4</f>
      </c>
      <c r="G4" s="306">
        <f>1-$C$4/$E$4*$M$24</f>
      </c>
      <c r="H4" s="307"/>
      <c r="I4" s="306"/>
      <c r="J4" s="306"/>
      <c r="K4" s="308">
        <f>$E$4/$C$4</f>
      </c>
      <c r="L4" s="307">
        <f>$C$4/$E$4*1000</f>
      </c>
      <c r="M4" s="309"/>
      <c r="N4" s="290"/>
      <c r="O4" s="301">
        <f t="shared" si="13"/>
      </c>
      <c r="P4" s="301" t="s">
        <v>1300</v>
      </c>
      <c r="Q4" s="302">
        <f>$D$24+$G$24</f>
      </c>
      <c r="R4" s="303">
        <f>$Q$4/$M$23</f>
      </c>
      <c r="S4" s="304">
        <f t="shared" si="15"/>
      </c>
      <c r="T4" s="305">
        <f>$R$4/$S$4</f>
      </c>
      <c r="U4" s="306">
        <f>1-$Q$4/$S$4*$M$24</f>
      </c>
      <c r="V4" s="307"/>
      <c r="W4" s="306"/>
      <c r="X4" s="306"/>
      <c r="Y4" s="308">
        <f>$S$4/$Q$4</f>
      </c>
      <c r="Z4" s="307">
        <f>$Q$4/$S$4*1000</f>
      </c>
      <c r="AA4" s="309"/>
      <c r="AB4" s="307">
        <f>$Q$4-$C$4</f>
      </c>
    </row>
    <row customHeight="true" ht="17.857142857142858" r="5">
      <c r="A5" s="310">
        <f t="shared" si="12"/>
      </c>
      <c r="B5" s="310" t="s">
        <v>1301</v>
      </c>
      <c r="C5" s="311">
        <f>$E$24</f>
      </c>
      <c r="D5" s="312">
        <f>$C$5/$M$23</f>
      </c>
      <c r="E5" s="313">
        <f t="shared" si="14"/>
      </c>
      <c r="F5" s="314">
        <f>$D$5/$E$5</f>
      </c>
      <c r="G5" s="315">
        <f>1-$C$5/$E$5*$M$24</f>
      </c>
      <c r="H5" s="316">
        <f>$C$5*12</f>
      </c>
      <c r="I5" s="315">
        <f>1-$C$5/$C$3</f>
      </c>
      <c r="J5" s="315"/>
      <c r="K5" s="317">
        <f>$E$5/$C$5</f>
      </c>
      <c r="L5" s="316">
        <f>$C$5/$E$5*1000</f>
      </c>
      <c r="M5" s="318">
        <f>$E$5*12</f>
      </c>
      <c r="N5" s="290"/>
      <c r="O5" s="310">
        <f t="shared" si="13"/>
      </c>
      <c r="P5" s="310" t="s">
        <v>1301</v>
      </c>
      <c r="Q5" s="311">
        <f>$E$24+$H$24</f>
      </c>
      <c r="R5" s="312">
        <f>$Q$5/$M$23</f>
      </c>
      <c r="S5" s="313">
        <f t="shared" si="15"/>
      </c>
      <c r="T5" s="314">
        <f>$R$5/$S$5</f>
      </c>
      <c r="U5" s="315">
        <f>1-$Q$5/$S$5*$M$24</f>
      </c>
      <c r="V5" s="316">
        <f>$Q$5*12</f>
      </c>
      <c r="W5" s="315">
        <f>1-$Q$5/$Q$3</f>
      </c>
      <c r="X5" s="315"/>
      <c r="Y5" s="317">
        <f>$S$5/$Q$5</f>
      </c>
      <c r="Z5" s="316">
        <f>$Q$5/$S$5*1000</f>
      </c>
      <c r="AA5" s="318">
        <f>$S$5*12</f>
      </c>
      <c r="AB5" s="316">
        <f>$Q$5-$C$5</f>
      </c>
    </row>
    <row customHeight="true" ht="17.857142857142858" r="6">
      <c r="A6" s="292">
        <f t="shared" ref="A6:A8" si="8">$A$25</f>
      </c>
      <c r="B6" s="292" t="s">
        <v>1299</v>
      </c>
      <c r="C6" s="293">
        <f>$C$25</f>
      </c>
      <c r="D6" s="294">
        <f>$C$6/$M$23</f>
      </c>
      <c r="E6" s="295">
        <f t="shared" ref="E6:E8" si="10">$B$25</f>
      </c>
      <c r="F6" s="296">
        <f>$D$6/$E$6</f>
      </c>
      <c r="G6" s="297">
        <f>1-$C$6/$E$6*$M$24</f>
      </c>
      <c r="H6" s="298">
        <f>$C$6*12</f>
      </c>
      <c r="I6" s="297"/>
      <c r="J6" s="297">
        <f>1-($C$6/$E$6)/($C$3/$E$3)</f>
      </c>
      <c r="K6" s="299">
        <f>$E$6/$C$6</f>
      </c>
      <c r="L6" s="298">
        <f>$C$6/$E$6*1000</f>
      </c>
      <c r="M6" s="300"/>
      <c r="N6" s="290"/>
      <c r="O6" s="292">
        <f t="shared" ref="O6:O8" si="9">$A$25</f>
      </c>
      <c r="P6" s="292" t="s">
        <v>1299</v>
      </c>
      <c r="Q6" s="293">
        <f>$C$25+$F$25</f>
      </c>
      <c r="R6" s="294">
        <f>$Q$6/$M$23</f>
      </c>
      <c r="S6" s="295">
        <f t="shared" ref="S6:S8" si="11">$B$25</f>
      </c>
      <c r="T6" s="296">
        <f>$R$6/$S$6</f>
      </c>
      <c r="U6" s="297">
        <f>1-$Q$6/$S$6*$M$24</f>
      </c>
      <c r="V6" s="298">
        <f>$Q$6*12</f>
      </c>
      <c r="W6" s="297"/>
      <c r="X6" s="297">
        <f>1-($Q$6/$S$6)/($Q$3/$S$3)</f>
      </c>
      <c r="Y6" s="299">
        <f>$S$6/$Q$6</f>
      </c>
      <c r="Z6" s="298">
        <f>$Q$6/$S$6*1000</f>
      </c>
      <c r="AA6" s="300"/>
      <c r="AB6" s="298">
        <f>$Q$6-$C$6</f>
      </c>
    </row>
    <row customHeight="true" ht="17.857142857142858" r="7">
      <c r="A7" s="301">
        <f t="shared" si="8"/>
      </c>
      <c r="B7" s="301" t="s">
        <v>1300</v>
      </c>
      <c r="C7" s="302">
        <f>$D$25</f>
      </c>
      <c r="D7" s="303">
        <f>$C$7/$M$23</f>
      </c>
      <c r="E7" s="304">
        <f t="shared" si="10"/>
      </c>
      <c r="F7" s="305">
        <f>$D$7/$E$7</f>
      </c>
      <c r="G7" s="306">
        <f>1-$C$7/$E$7*$M$24</f>
      </c>
      <c r="H7" s="307"/>
      <c r="I7" s="306"/>
      <c r="J7" s="306">
        <f>1-($C$7/$E$7)/($C$4/$E$4)</f>
      </c>
      <c r="K7" s="308">
        <f>$E$7/$C$7</f>
      </c>
      <c r="L7" s="307">
        <f>$C$7/$E$7*1000</f>
      </c>
      <c r="M7" s="309"/>
      <c r="N7" s="290"/>
      <c r="O7" s="301">
        <f t="shared" si="9"/>
      </c>
      <c r="P7" s="301" t="s">
        <v>1300</v>
      </c>
      <c r="Q7" s="302">
        <f>$D$25+$G$25</f>
      </c>
      <c r="R7" s="303">
        <f>$Q$7/$M$23</f>
      </c>
      <c r="S7" s="304">
        <f t="shared" si="11"/>
      </c>
      <c r="T7" s="305">
        <f>$R$7/$S$7</f>
      </c>
      <c r="U7" s="306">
        <f>1-$Q$7/$S$7*$M$24</f>
      </c>
      <c r="V7" s="307"/>
      <c r="W7" s="306"/>
      <c r="X7" s="306">
        <f>1-($Q$7/$S$7)/($Q$4/$S$4)</f>
      </c>
      <c r="Y7" s="308">
        <f>$S$7/$Q$7</f>
      </c>
      <c r="Z7" s="307">
        <f>$Q$7/$S$7*1000</f>
      </c>
      <c r="AA7" s="309"/>
      <c r="AB7" s="307">
        <f>$Q$7-$C$7</f>
      </c>
    </row>
    <row customHeight="true" ht="17.857142857142858" r="8">
      <c r="A8" s="310">
        <f t="shared" si="8"/>
      </c>
      <c r="B8" s="310" t="s">
        <v>1301</v>
      </c>
      <c r="C8" s="311">
        <f>$E$25</f>
      </c>
      <c r="D8" s="312">
        <f>$C$8/$M$23</f>
      </c>
      <c r="E8" s="313">
        <f t="shared" si="10"/>
      </c>
      <c r="F8" s="314">
        <f>$D$8/$E$8</f>
      </c>
      <c r="G8" s="315">
        <f>1-$C$8/$E$8*$M$24</f>
      </c>
      <c r="H8" s="316">
        <f>$C$8*12</f>
      </c>
      <c r="I8" s="315">
        <f>1-$C$8/$C$6</f>
      </c>
      <c r="J8" s="315">
        <f>1-($C$8/$E$8)/($C$5/$E$5)</f>
      </c>
      <c r="K8" s="317">
        <f>$E$8/$C$8</f>
      </c>
      <c r="L8" s="316">
        <f>$C$8/$E$8*1000</f>
      </c>
      <c r="M8" s="318">
        <f>$E$8*12</f>
      </c>
      <c r="N8" s="290"/>
      <c r="O8" s="310">
        <f t="shared" si="9"/>
      </c>
      <c r="P8" s="310" t="s">
        <v>1301</v>
      </c>
      <c r="Q8" s="311">
        <f>$E$25+$H$25</f>
      </c>
      <c r="R8" s="312">
        <f>$Q$8/$M$23</f>
      </c>
      <c r="S8" s="313">
        <f t="shared" si="11"/>
      </c>
      <c r="T8" s="314">
        <f>$R$8/$S$8</f>
      </c>
      <c r="U8" s="315">
        <f>1-$Q$8/$S$8*$M$24</f>
      </c>
      <c r="V8" s="316">
        <f>$Q$8*12</f>
      </c>
      <c r="W8" s="315">
        <f>1-$Q$8/$Q$6</f>
      </c>
      <c r="X8" s="315">
        <f>1-($Q$8/$S$8)/($Q$5/$S$5)</f>
      </c>
      <c r="Y8" s="317">
        <f>$S$8/$Q$8</f>
      </c>
      <c r="Z8" s="316">
        <f>$Q$8/$S$8*1000</f>
      </c>
      <c r="AA8" s="318">
        <f>$S$8*12</f>
      </c>
      <c r="AB8" s="316">
        <f>$Q$8-$C$8</f>
      </c>
    </row>
    <row customHeight="true" ht="17.857142857142858" r="9">
      <c r="A9" s="292">
        <f t="shared" ref="A9:A11" si="4">$A$26</f>
      </c>
      <c r="B9" s="292" t="s">
        <v>1299</v>
      </c>
      <c r="C9" s="293">
        <f>$C$26</f>
      </c>
      <c r="D9" s="294">
        <f>$C$9/$M$23</f>
      </c>
      <c r="E9" s="295">
        <f t="shared" ref="E9:E11" si="6">$B$26</f>
      </c>
      <c r="F9" s="296">
        <f>$D$9/$E$9</f>
      </c>
      <c r="G9" s="297">
        <f>1-$C$9/$E$9*$M$24</f>
      </c>
      <c r="H9" s="298">
        <f>$C$9*12</f>
      </c>
      <c r="I9" s="297"/>
      <c r="J9" s="297">
        <f>1-($C$9/$E$9)/($C$6/$E$6)</f>
      </c>
      <c r="K9" s="299">
        <f>$E$9/$C$9</f>
      </c>
      <c r="L9" s="298">
        <f>$C$9/$E$9*1000</f>
      </c>
      <c r="M9" s="300"/>
      <c r="N9" s="290"/>
      <c r="O9" s="292">
        <f t="shared" ref="O9:O11" si="5">$A$26</f>
      </c>
      <c r="P9" s="292" t="s">
        <v>1299</v>
      </c>
      <c r="Q9" s="293">
        <f>$C$26+$F$26</f>
      </c>
      <c r="R9" s="294">
        <f>$Q$9/$M$23</f>
      </c>
      <c r="S9" s="295">
        <f t="shared" ref="S9:S11" si="7">$B$26</f>
      </c>
      <c r="T9" s="296">
        <f>$R$9/$S$9</f>
      </c>
      <c r="U9" s="297">
        <f>1-$Q$9/$S$9*$M$24</f>
      </c>
      <c r="V9" s="298">
        <f>$Q$9*12</f>
      </c>
      <c r="W9" s="297"/>
      <c r="X9" s="297">
        <f>1-($Q$9/$S$9)/($Q$6/$S$6)</f>
      </c>
      <c r="Y9" s="299">
        <f>$S$9/$Q$9</f>
      </c>
      <c r="Z9" s="298">
        <f>$Q$9/$S$9*1000</f>
      </c>
      <c r="AA9" s="300"/>
      <c r="AB9" s="298">
        <f>$Q$9-$C$9</f>
      </c>
    </row>
    <row customHeight="true" ht="17.857142857142858" r="10">
      <c r="A10" s="301">
        <f t="shared" si="4"/>
      </c>
      <c r="B10" s="301" t="s">
        <v>1300</v>
      </c>
      <c r="C10" s="302">
        <f>$D$26</f>
      </c>
      <c r="D10" s="303">
        <f>$C$10/$M$23</f>
      </c>
      <c r="E10" s="304">
        <f t="shared" si="6"/>
      </c>
      <c r="F10" s="305">
        <f>$D$10/$E$10</f>
      </c>
      <c r="G10" s="306">
        <f>1-$C$10/$E$10*$M$24</f>
      </c>
      <c r="H10" s="307"/>
      <c r="I10" s="306"/>
      <c r="J10" s="306">
        <f>1-($C$10/$E$10)/($C$7/$E$7)</f>
      </c>
      <c r="K10" s="308">
        <f>$E$10/$C$10</f>
      </c>
      <c r="L10" s="307">
        <f>$C$10/$E$10*1000</f>
      </c>
      <c r="M10" s="309"/>
      <c r="N10" s="290"/>
      <c r="O10" s="301">
        <f t="shared" si="5"/>
      </c>
      <c r="P10" s="301" t="s">
        <v>1300</v>
      </c>
      <c r="Q10" s="302">
        <f>$D$26+$G$26</f>
      </c>
      <c r="R10" s="303">
        <f>$Q$10/$M$23</f>
      </c>
      <c r="S10" s="304">
        <f t="shared" si="7"/>
      </c>
      <c r="T10" s="305">
        <f>$R$10/$S$10</f>
      </c>
      <c r="U10" s="306">
        <f>1-$Q$10/$S$10*$M$24</f>
      </c>
      <c r="V10" s="307"/>
      <c r="W10" s="306"/>
      <c r="X10" s="306">
        <f>1-($Q$10/$S$10)/($Q$7/$S$7)</f>
      </c>
      <c r="Y10" s="308">
        <f>$S$10/$Q$10</f>
      </c>
      <c r="Z10" s="307">
        <f>$Q$10/$S$10*1000</f>
      </c>
      <c r="AA10" s="309"/>
      <c r="AB10" s="307">
        <f>$Q$10-$C$10</f>
      </c>
    </row>
    <row customHeight="true" ht="17.857142857142858" r="11">
      <c r="A11" s="310">
        <f t="shared" si="4"/>
      </c>
      <c r="B11" s="310" t="s">
        <v>1301</v>
      </c>
      <c r="C11" s="311">
        <f>$E$26</f>
      </c>
      <c r="D11" s="312">
        <f>$C$11/$M$23</f>
      </c>
      <c r="E11" s="313">
        <f t="shared" si="6"/>
      </c>
      <c r="F11" s="314">
        <f>$D$11/$E$11</f>
      </c>
      <c r="G11" s="315">
        <f>1-$C$11/$E$11*$M$24</f>
      </c>
      <c r="H11" s="316">
        <f>$C$11*12</f>
      </c>
      <c r="I11" s="315">
        <f>1-$C$11/$C$9</f>
      </c>
      <c r="J11" s="315">
        <f>1-($C$11/$E$11)/($C$8/$E$8)</f>
      </c>
      <c r="K11" s="317">
        <f>$E$11/$C$11</f>
      </c>
      <c r="L11" s="316">
        <f>$C$11/$E$11*1000</f>
      </c>
      <c r="M11" s="318">
        <f>$E$11*12</f>
      </c>
      <c r="N11" s="290"/>
      <c r="O11" s="310">
        <f t="shared" si="5"/>
      </c>
      <c r="P11" s="310" t="s">
        <v>1301</v>
      </c>
      <c r="Q11" s="311">
        <f>$E$26+$H$26</f>
      </c>
      <c r="R11" s="312">
        <f>$Q$11/$M$23</f>
      </c>
      <c r="S11" s="313">
        <f t="shared" si="7"/>
      </c>
      <c r="T11" s="314">
        <f>$R$11/$S$11</f>
      </c>
      <c r="U11" s="315">
        <f>1-$Q$11/$S$11*$M$24</f>
      </c>
      <c r="V11" s="316">
        <f>$Q$11*12</f>
      </c>
      <c r="W11" s="315">
        <f>1-$Q$11/$Q$9</f>
      </c>
      <c r="X11" s="315">
        <f>1-($Q$11/$S$11)/($Q$8/$S$8)</f>
      </c>
      <c r="Y11" s="317">
        <f>$S$11/$Q$11</f>
      </c>
      <c r="Z11" s="316">
        <f>$Q$11/$S$11*1000</f>
      </c>
      <c r="AA11" s="318">
        <f>$S$11*12</f>
      </c>
      <c r="AB11" s="316">
        <f>$Q$11-$C$11</f>
      </c>
    </row>
    <row customHeight="true" ht="17.857142857142858" r="12">
      <c r="A12" s="292">
        <f t="shared" ref="A12:A14" si="0">$A$27</f>
      </c>
      <c r="B12" s="292" t="s">
        <v>1299</v>
      </c>
      <c r="C12" s="293">
        <f>$C$27</f>
      </c>
      <c r="D12" s="294">
        <f>$C$12/$M$23</f>
      </c>
      <c r="E12" s="295">
        <f t="shared" ref="E12:E14" si="2">$B$27</f>
      </c>
      <c r="F12" s="296">
        <f>$D$12/$E$12</f>
      </c>
      <c r="G12" s="297">
        <f>1-$C$12/$E$12*$M$24</f>
      </c>
      <c r="H12" s="298">
        <f>$C$12*12</f>
      </c>
      <c r="I12" s="297"/>
      <c r="J12" s="297">
        <f>1-($C$12/$E$12)/($C$9/$E$9)</f>
      </c>
      <c r="K12" s="299">
        <f>$E$12/$C$12</f>
      </c>
      <c r="L12" s="298">
        <f>$C$12/$E$12*1000</f>
      </c>
      <c r="M12" s="300"/>
      <c r="N12" s="290"/>
      <c r="O12" s="292">
        <f t="shared" ref="O12:O14" si="1">$A$27</f>
      </c>
      <c r="P12" s="292" t="s">
        <v>1299</v>
      </c>
      <c r="Q12" s="293">
        <f>$C$27+$F$27</f>
      </c>
      <c r="R12" s="294">
        <f>$Q$12/$M$23</f>
      </c>
      <c r="S12" s="295">
        <f t="shared" ref="S12:S14" si="3">$B$27</f>
      </c>
      <c r="T12" s="296">
        <f>$R$12/$S$12</f>
      </c>
      <c r="U12" s="297">
        <f>1-$Q$12/$S$12*$M$24</f>
      </c>
      <c r="V12" s="298">
        <f>$Q$12*12</f>
      </c>
      <c r="W12" s="297"/>
      <c r="X12" s="297">
        <f>1-($Q$12/$S$12)/($Q$9/$S$9)</f>
      </c>
      <c r="Y12" s="299">
        <f>$S$12/$Q$12</f>
      </c>
      <c r="Z12" s="298">
        <f>$Q$12/$S$12*1000</f>
      </c>
      <c r="AA12" s="300"/>
      <c r="AB12" s="298">
        <f>$Q$12-$C$12</f>
      </c>
    </row>
    <row customHeight="true" ht="17.857142857142858" r="13">
      <c r="A13" s="301">
        <f t="shared" si="0"/>
      </c>
      <c r="B13" s="301" t="s">
        <v>1300</v>
      </c>
      <c r="C13" s="302">
        <f>$D$27</f>
      </c>
      <c r="D13" s="303">
        <f>$C$13/$M$23</f>
      </c>
      <c r="E13" s="304">
        <f t="shared" si="2"/>
      </c>
      <c r="F13" s="305">
        <f>$D$13/$E$13</f>
      </c>
      <c r="G13" s="306">
        <f>1-$C$13/$E$13*$M$24</f>
      </c>
      <c r="H13" s="307"/>
      <c r="I13" s="306"/>
      <c r="J13" s="306">
        <f>1-($C$13/$E$13)/($C$10/$E$10)</f>
      </c>
      <c r="K13" s="308">
        <f>$E$13/$C$13</f>
      </c>
      <c r="L13" s="307">
        <f>$C$13/$E$13*1000</f>
      </c>
      <c r="M13" s="309"/>
      <c r="N13" s="290"/>
      <c r="O13" s="301">
        <f t="shared" si="1"/>
      </c>
      <c r="P13" s="301" t="s">
        <v>1300</v>
      </c>
      <c r="Q13" s="302">
        <f>$D$27+$G$27</f>
      </c>
      <c r="R13" s="303">
        <f>$Q$13/$M$23</f>
      </c>
      <c r="S13" s="304">
        <f t="shared" si="3"/>
      </c>
      <c r="T13" s="305">
        <f>$R$13/$S$13</f>
      </c>
      <c r="U13" s="306">
        <f>1-$Q$13/$S$13*$M$24</f>
      </c>
      <c r="V13" s="307"/>
      <c r="W13" s="306"/>
      <c r="X13" s="306">
        <f>1-($Q$13/$S$13)/($Q$10/$S$10)</f>
      </c>
      <c r="Y13" s="308">
        <f>$S$13/$Q$13</f>
      </c>
      <c r="Z13" s="307">
        <f>$Q$13/$S$13*1000</f>
      </c>
      <c r="AA13" s="309"/>
      <c r="AB13" s="307">
        <f>$Q$13-$C$13</f>
      </c>
    </row>
    <row customHeight="true" ht="17.857142857142858" r="14">
      <c r="A14" s="310">
        <f t="shared" si="0"/>
      </c>
      <c r="B14" s="310" t="s">
        <v>1301</v>
      </c>
      <c r="C14" s="311">
        <f>$E$27</f>
      </c>
      <c r="D14" s="312">
        <f>$C$14/$M$23</f>
      </c>
      <c r="E14" s="313">
        <f t="shared" si="2"/>
      </c>
      <c r="F14" s="314">
        <f>$D$14/$E$14</f>
      </c>
      <c r="G14" s="315">
        <f>1-$C$14/$E$14*$M$24</f>
      </c>
      <c r="H14" s="316">
        <f>$C$14*12</f>
      </c>
      <c r="I14" s="315">
        <f>1-$C$14/$C$12</f>
      </c>
      <c r="J14" s="315">
        <f>1-($C$14/$E$14)/($C$11/$E$11)</f>
      </c>
      <c r="K14" s="317">
        <f>$E$14/$C$14</f>
      </c>
      <c r="L14" s="316">
        <f>$C$14/$E$14*1000</f>
      </c>
      <c r="M14" s="318">
        <f>$E$14*12</f>
      </c>
      <c r="N14" s="290"/>
      <c r="O14" s="310">
        <f t="shared" si="1"/>
      </c>
      <c r="P14" s="310" t="s">
        <v>1301</v>
      </c>
      <c r="Q14" s="311">
        <f>$E$27+$H$27</f>
      </c>
      <c r="R14" s="312">
        <f>$Q$14/$M$23</f>
      </c>
      <c r="S14" s="313">
        <f t="shared" si="3"/>
      </c>
      <c r="T14" s="314">
        <f>$R$14/$S$14</f>
      </c>
      <c r="U14" s="315">
        <f>1-$Q$14/$S$14*$M$24</f>
      </c>
      <c r="V14" s="316">
        <f>$Q$14*12</f>
      </c>
      <c r="W14" s="315">
        <f>1-$Q$14/$Q$12</f>
      </c>
      <c r="X14" s="315">
        <f>1-($Q$14/$S$14)/($Q$11/$S$11)</f>
      </c>
      <c r="Y14" s="317">
        <f>$S$14/$Q$14</f>
      </c>
      <c r="Z14" s="316">
        <f>$Q$14/$S$14*1000</f>
      </c>
      <c r="AA14" s="318">
        <f>$S$14*12</f>
      </c>
      <c r="AB14" s="316">
        <f>$Q$14-$C$14</f>
      </c>
    </row>
    <row r="15">
      <c r="A15" s="290"/>
      <c r="B15" s="290"/>
      <c r="C15" s="290"/>
      <c r="D15" s="290"/>
      <c r="E15" s="290"/>
      <c r="F15" s="290"/>
      <c r="G15" s="290"/>
      <c r="H15" s="290"/>
      <c r="I15" s="290"/>
      <c r="J15" s="290"/>
      <c r="K15" s="290"/>
      <c r="L15" s="290"/>
      <c r="M15" s="290"/>
      <c r="N15" s="290"/>
      <c r="O15" s="290"/>
      <c r="P15" s="290"/>
      <c r="Q15" s="290"/>
      <c r="R15" s="290"/>
      <c r="S15" s="290"/>
      <c r="T15" s="290"/>
      <c r="U15" s="290"/>
      <c r="V15" s="290"/>
      <c r="W15" s="290"/>
      <c r="X15" s="290"/>
      <c r="Y15" s="290"/>
      <c r="Z15" s="290"/>
      <c r="AA15" s="290"/>
      <c r="AB15" s="290"/>
    </row>
    <row customHeight="true" ht="20.238095238095237" r="16">
      <c r="A16" s="319" t="s">
        <v>1302</v>
      </c>
      <c r="B16" s="319"/>
      <c r="C16" s="319"/>
      <c r="D16" s="319"/>
      <c r="E16" s="319"/>
      <c r="F16" s="319"/>
      <c r="G16" s="319"/>
      <c r="H16" s="319"/>
      <c r="I16" s="319"/>
      <c r="J16" s="319"/>
      <c r="K16" s="319"/>
      <c r="L16" s="319"/>
      <c r="M16" s="319"/>
      <c r="N16" s="319"/>
      <c r="O16" s="319" t="s">
        <v>1303</v>
      </c>
      <c r="P16" s="319"/>
      <c r="Q16" s="319"/>
      <c r="R16" s="319"/>
      <c r="S16" s="319"/>
      <c r="T16" s="319"/>
      <c r="U16" s="319"/>
      <c r="V16" s="319"/>
      <c r="W16" s="319"/>
      <c r="X16" s="319"/>
      <c r="Y16" s="319"/>
      <c r="Z16" s="319"/>
      <c r="AA16" s="319"/>
      <c r="AB16" s="319"/>
    </row>
    <row customHeight="true" ht="20.238095238095237" r="17">
      <c r="A17" s="319" t="s">
        <v>1304</v>
      </c>
      <c r="B17" s="319"/>
      <c r="C17" s="319"/>
      <c r="D17" s="319"/>
      <c r="E17" s="319"/>
      <c r="F17" s="319"/>
      <c r="G17" s="319"/>
      <c r="H17" s="319"/>
      <c r="I17" s="319"/>
      <c r="J17" s="319"/>
      <c r="K17" s="319"/>
      <c r="L17" s="319"/>
      <c r="M17" s="319"/>
      <c r="N17" s="319"/>
      <c r="O17" s="319" t="s">
        <v>1305</v>
      </c>
      <c r="P17" s="319"/>
      <c r="Q17" s="319"/>
      <c r="R17" s="319"/>
      <c r="S17" s="319"/>
      <c r="T17" s="319"/>
      <c r="U17" s="319"/>
      <c r="V17" s="319"/>
      <c r="W17" s="319"/>
      <c r="X17" s="319"/>
      <c r="Y17" s="319"/>
      <c r="Z17" s="319"/>
      <c r="AA17" s="319"/>
      <c r="AB17" s="319"/>
    </row>
    <row customHeight="true" ht="20.238095238095237" r="18">
      <c r="A18" s="319" t="s">
        <v>1306</v>
      </c>
      <c r="B18" s="319"/>
      <c r="C18" s="319"/>
      <c r="D18" s="319"/>
      <c r="E18" s="319"/>
      <c r="F18" s="319"/>
      <c r="G18" s="319"/>
      <c r="H18" s="319"/>
      <c r="I18" s="319"/>
      <c r="J18" s="319"/>
      <c r="K18" s="319"/>
      <c r="L18" s="319"/>
      <c r="M18" s="319"/>
      <c r="N18" s="319"/>
      <c r="O18" s="319" t="s">
        <v>1307</v>
      </c>
      <c r="P18" s="319"/>
      <c r="Q18" s="319"/>
      <c r="R18" s="319"/>
      <c r="S18" s="319"/>
      <c r="T18" s="319"/>
      <c r="U18" s="319"/>
      <c r="V18" s="319"/>
      <c r="W18" s="319"/>
      <c r="X18" s="319"/>
      <c r="Y18" s="319"/>
      <c r="Z18" s="319"/>
      <c r="AA18" s="319"/>
      <c r="AB18" s="319"/>
    </row>
    <row r="19">
      <c r="A19" s="319"/>
      <c r="B19" s="319"/>
      <c r="C19" s="319"/>
      <c r="D19" s="319"/>
      <c r="E19" s="319"/>
      <c r="F19" s="319"/>
      <c r="G19" s="319"/>
      <c r="H19" s="319"/>
      <c r="I19" s="319"/>
      <c r="J19" s="319"/>
      <c r="K19" s="319"/>
      <c r="L19" s="319"/>
      <c r="M19" s="319"/>
      <c r="N19" s="319"/>
      <c r="O19" s="319"/>
      <c r="P19" s="319"/>
      <c r="Q19" s="319"/>
      <c r="R19" s="319"/>
      <c r="S19" s="319"/>
      <c r="T19" s="319"/>
      <c r="U19" s="319"/>
      <c r="V19" s="319"/>
      <c r="W19" s="319"/>
      <c r="X19" s="319"/>
      <c r="Y19" s="319"/>
      <c r="Z19" s="319"/>
      <c r="AA19" s="319"/>
      <c r="AB19" s="319"/>
    </row>
    <row customHeight="true" ht="21.42857142857143" r="20">
      <c r="A20" s="319" t="s">
        <v>1308</v>
      </c>
      <c r="B20" s="319"/>
      <c r="C20" s="319"/>
      <c r="D20" s="319"/>
      <c r="E20" s="319"/>
      <c r="F20" s="319"/>
      <c r="G20" s="319"/>
      <c r="H20" s="319"/>
      <c r="I20" s="319"/>
      <c r="J20" s="319"/>
      <c r="K20" s="319"/>
      <c r="L20" s="319"/>
      <c r="M20" s="319"/>
      <c r="N20" s="319"/>
      <c r="O20" s="319"/>
      <c r="P20" s="319"/>
      <c r="Q20" s="319"/>
      <c r="R20" s="319"/>
      <c r="S20" s="319"/>
      <c r="T20" s="319"/>
      <c r="U20" s="319"/>
      <c r="V20" s="319"/>
      <c r="W20" s="319"/>
      <c r="X20" s="319"/>
      <c r="Y20" s="319"/>
      <c r="Z20" s="319"/>
      <c r="AA20" s="319"/>
      <c r="AB20" s="319"/>
    </row>
    <row r="21">
      <c r="A21" s="290"/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  <c r="AA21" s="290"/>
      <c r="AB21" s="290"/>
    </row>
    <row customHeight="true" ht="21.42857142857143" r="22">
      <c r="A22" s="289" t="s">
        <v>1309</v>
      </c>
      <c r="B22" s="289"/>
      <c r="C22" s="289"/>
      <c r="D22" s="289"/>
      <c r="E22" s="289"/>
      <c r="F22" s="289"/>
      <c r="G22" s="289"/>
      <c r="H22" s="289"/>
      <c r="I22" s="290"/>
      <c r="J22" s="289" t="s">
        <v>1310</v>
      </c>
      <c r="K22" s="289"/>
      <c r="L22" s="289"/>
      <c r="M22" s="289"/>
      <c r="N22" s="289"/>
      <c r="O22" s="289"/>
      <c r="P22" s="289"/>
      <c r="Q22" s="289"/>
      <c r="R22" s="290"/>
      <c r="S22" s="290"/>
      <c r="T22" s="290"/>
      <c r="U22" s="290"/>
      <c r="V22" s="290"/>
      <c r="W22" s="290"/>
      <c r="X22" s="290"/>
      <c r="Y22" s="290"/>
      <c r="Z22" s="290"/>
      <c r="AA22" s="290"/>
      <c r="AB22" s="290"/>
    </row>
    <row customHeight="true" ht="38.095238095238095" r="23">
      <c r="A23" s="291" t="s">
        <v>1285</v>
      </c>
      <c r="B23" s="291" t="s">
        <v>1311</v>
      </c>
      <c r="C23" s="291" t="s">
        <v>1312</v>
      </c>
      <c r="D23" s="291" t="s">
        <v>1313</v>
      </c>
      <c r="E23" s="291" t="s">
        <v>1314</v>
      </c>
      <c r="F23" s="291" t="s">
        <v>1315</v>
      </c>
      <c r="G23" s="291" t="s">
        <v>1316</v>
      </c>
      <c r="H23" s="291" t="s">
        <v>1317</v>
      </c>
      <c r="I23" s="290"/>
      <c r="J23" s="290" t="s">
        <v>1318</v>
      </c>
      <c r="K23" s="290"/>
      <c r="L23" s="290"/>
      <c r="M23" s="320">
        <v>6.8</v>
      </c>
      <c r="N23" s="290" t="s">
        <v>1319</v>
      </c>
      <c r="O23" s="290"/>
      <c r="P23" s="290"/>
      <c r="Q23" s="290"/>
      <c r="R23" s="290"/>
      <c r="S23" s="290"/>
      <c r="T23" s="290"/>
      <c r="U23" s="290"/>
      <c r="V23" s="290"/>
      <c r="W23" s="290"/>
      <c r="X23" s="290"/>
      <c r="Y23" s="290"/>
      <c r="Z23" s="290"/>
      <c r="AA23" s="290"/>
      <c r="AB23" s="290"/>
    </row>
    <row customHeight="true" ht="22.61904761904762" r="24">
      <c r="A24" s="321" t="s">
        <v>1320</v>
      </c>
      <c r="B24" s="322">
        <v>1000</v>
      </c>
      <c r="C24" s="323">
        <v>49</v>
      </c>
      <c r="D24" s="323">
        <v>39</v>
      </c>
      <c r="E24" s="323">
        <v>35</v>
      </c>
      <c r="F24" s="323">
        <v>151</v>
      </c>
      <c r="G24" s="323">
        <v>150</v>
      </c>
      <c r="H24" s="323">
        <v>125</v>
      </c>
      <c r="I24" s="290"/>
      <c r="J24" s="290" t="s">
        <v>1321</v>
      </c>
      <c r="K24" s="290"/>
      <c r="L24" s="290"/>
      <c r="M24" s="320">
        <v>20</v>
      </c>
      <c r="N24" s="290" t="s">
        <v>1322</v>
      </c>
      <c r="O24" s="290"/>
      <c r="P24" s="290"/>
      <c r="Q24" s="290"/>
      <c r="R24" s="290"/>
      <c r="S24" s="290"/>
      <c r="T24" s="290"/>
      <c r="U24" s="290"/>
      <c r="V24" s="290"/>
      <c r="W24" s="290"/>
      <c r="X24" s="290"/>
      <c r="Y24" s="290"/>
      <c r="Z24" s="290"/>
      <c r="AA24" s="290"/>
      <c r="AB24" s="290"/>
    </row>
    <row customHeight="true" ht="22.61904761904762" r="25">
      <c r="A25" s="321" t="s">
        <v>1323</v>
      </c>
      <c r="B25" s="322">
        <v>3000</v>
      </c>
      <c r="C25" s="323">
        <v>129</v>
      </c>
      <c r="D25" s="323">
        <v>99</v>
      </c>
      <c r="E25" s="323">
        <v>99</v>
      </c>
      <c r="F25" s="323">
        <v>150</v>
      </c>
      <c r="G25" s="323">
        <v>150</v>
      </c>
      <c r="H25" s="323">
        <v>120</v>
      </c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Y25" s="290"/>
      <c r="Z25" s="290"/>
      <c r="AA25" s="290"/>
      <c r="AB25" s="290"/>
    </row>
    <row customHeight="true" ht="22.61904761904762" r="26">
      <c r="A26" s="321" t="s">
        <v>1324</v>
      </c>
      <c r="B26" s="322">
        <v>7000</v>
      </c>
      <c r="C26" s="323">
        <v>299</v>
      </c>
      <c r="D26" s="323">
        <v>239</v>
      </c>
      <c r="E26" s="323">
        <v>199</v>
      </c>
      <c r="F26" s="323">
        <v>150</v>
      </c>
      <c r="G26" s="323">
        <v>150</v>
      </c>
      <c r="H26" s="323">
        <v>100</v>
      </c>
      <c r="I26" s="290"/>
      <c r="J26" s="290" t="s">
        <v>1325</v>
      </c>
      <c r="K26" s="290"/>
      <c r="L26" s="290"/>
      <c r="M26" s="290"/>
      <c r="N26" s="290"/>
      <c r="O26" s="290"/>
      <c r="P26" s="290"/>
      <c r="Q26" s="290"/>
      <c r="R26" s="290"/>
      <c r="S26" s="290"/>
      <c r="T26" s="290"/>
      <c r="U26" s="290"/>
      <c r="V26" s="290"/>
      <c r="W26" s="290"/>
      <c r="X26" s="290"/>
      <c r="Y26" s="290"/>
      <c r="Z26" s="290"/>
      <c r="AA26" s="290"/>
      <c r="AB26" s="290"/>
    </row>
    <row customHeight="true" ht="22.61904761904762" r="27">
      <c r="A27" s="321" t="s">
        <v>1326</v>
      </c>
      <c r="B27" s="322">
        <v>16000</v>
      </c>
      <c r="C27" s="323">
        <v>649</v>
      </c>
      <c r="D27" s="323">
        <v>529</v>
      </c>
      <c r="E27" s="323">
        <v>399</v>
      </c>
      <c r="F27" s="323">
        <v>150</v>
      </c>
      <c r="G27" s="323">
        <v>150</v>
      </c>
      <c r="H27" s="323">
        <v>100</v>
      </c>
      <c r="I27" s="290"/>
      <c r="J27" s="290" t="s">
        <v>1327</v>
      </c>
      <c r="K27" s="290"/>
      <c r="L27" s="290"/>
      <c r="M27" s="290"/>
      <c r="N27" s="290"/>
      <c r="O27" s="290"/>
      <c r="P27" s="290"/>
      <c r="Q27" s="290"/>
      <c r="R27" s="290"/>
      <c r="S27" s="290"/>
      <c r="T27" s="290"/>
      <c r="U27" s="290"/>
      <c r="V27" s="290"/>
      <c r="W27" s="290"/>
      <c r="X27" s="290"/>
      <c r="Y27" s="290"/>
      <c r="Z27" s="290"/>
      <c r="AA27" s="290"/>
      <c r="AB27" s="290"/>
    </row>
    <row r="28">
      <c r="A28" s="290"/>
      <c r="B28" s="290"/>
      <c r="C28" s="290"/>
      <c r="D28" s="290"/>
      <c r="E28" s="290"/>
      <c r="F28" s="290"/>
      <c r="G28" s="290"/>
      <c r="H28" s="290"/>
      <c r="I28" s="290"/>
      <c r="J28" s="290"/>
      <c r="K28" s="290"/>
      <c r="L28" s="290"/>
      <c r="M28" s="290"/>
      <c r="N28" s="290"/>
      <c r="O28" s="290"/>
      <c r="P28" s="290"/>
      <c r="Q28" s="290"/>
      <c r="R28" s="290"/>
      <c r="S28" s="290"/>
      <c r="T28" s="290"/>
      <c r="U28" s="290"/>
      <c r="V28" s="290"/>
      <c r="W28" s="290"/>
      <c r="X28" s="290"/>
      <c r="Y28" s="290"/>
      <c r="Z28" s="290"/>
      <c r="AA28" s="290"/>
      <c r="AB28" s="290"/>
    </row>
    <row r="29">
      <c r="A29" s="290"/>
      <c r="B29" s="290"/>
      <c r="C29" s="290"/>
      <c r="D29" s="290"/>
      <c r="E29" s="290"/>
      <c r="F29" s="290"/>
      <c r="G29" s="290"/>
      <c r="H29" s="290"/>
      <c r="I29" s="290"/>
      <c r="J29" s="290"/>
      <c r="K29" s="290"/>
      <c r="L29" s="290"/>
      <c r="M29" s="290"/>
      <c r="N29" s="290"/>
      <c r="O29" s="290"/>
      <c r="P29" s="290"/>
      <c r="Q29" s="290"/>
      <c r="R29" s="290"/>
      <c r="S29" s="290"/>
      <c r="T29" s="290"/>
      <c r="U29" s="290"/>
      <c r="V29" s="290"/>
      <c r="W29" s="290"/>
      <c r="X29" s="290"/>
      <c r="Y29" s="290"/>
      <c r="Z29" s="290"/>
      <c r="AA29" s="290"/>
      <c r="AB29" s="290"/>
    </row>
    <row customHeight="true" ht="21.42857142857143" r="30">
      <c r="A30" s="289" t="s">
        <v>1328</v>
      </c>
      <c r="B30" s="289"/>
      <c r="C30" s="289"/>
      <c r="D30" s="289"/>
      <c r="E30" s="289"/>
      <c r="F30" s="289"/>
      <c r="G30" s="289"/>
      <c r="H30" s="289"/>
      <c r="I30" s="290"/>
      <c r="J30" s="290"/>
      <c r="K30" s="290"/>
      <c r="L30" s="290"/>
      <c r="M30" s="290"/>
      <c r="N30" s="290"/>
      <c r="O30" s="290"/>
      <c r="P30" s="290"/>
      <c r="Q30" s="290"/>
      <c r="R30" s="290"/>
      <c r="S30" s="290"/>
      <c r="T30" s="290"/>
      <c r="U30" s="290"/>
      <c r="V30" s="290"/>
      <c r="W30" s="290"/>
      <c r="X30" s="290"/>
      <c r="Y30" s="290"/>
      <c r="Z30" s="290"/>
      <c r="AA30" s="290"/>
      <c r="AB30" s="290"/>
    </row>
    <row customHeight="true" ht="33.333333333333336" r="31">
      <c r="A31" s="291" t="s">
        <v>1285</v>
      </c>
      <c r="B31" s="291" t="s">
        <v>1289</v>
      </c>
      <c r="C31" s="291" t="s">
        <v>1329</v>
      </c>
      <c r="D31" s="291" t="s">
        <v>1330</v>
      </c>
      <c r="E31" s="291" t="s">
        <v>1331</v>
      </c>
      <c r="F31" s="291" t="s">
        <v>1332</v>
      </c>
      <c r="G31" s="291" t="s">
        <v>1333</v>
      </c>
      <c r="H31" s="291" t="s">
        <v>1334</v>
      </c>
      <c r="I31" s="290"/>
      <c r="J31" s="290"/>
      <c r="K31" s="290"/>
      <c r="L31" s="290"/>
      <c r="M31" s="290"/>
      <c r="N31" s="290"/>
      <c r="O31" s="290"/>
      <c r="P31" s="290"/>
      <c r="Q31" s="290"/>
      <c r="R31" s="290"/>
      <c r="S31" s="290"/>
      <c r="T31" s="290"/>
      <c r="U31" s="290"/>
      <c r="V31" s="290"/>
      <c r="W31" s="290"/>
      <c r="X31" s="290"/>
      <c r="Y31" s="290"/>
      <c r="Z31" s="290"/>
      <c r="AA31" s="290"/>
      <c r="AB31" s="290"/>
    </row>
    <row customHeight="true" ht="19.047619047619047" r="32">
      <c r="A32" s="324">
        <f>$A$5</f>
      </c>
      <c r="B32" s="325">
        <f>$E$5</f>
      </c>
      <c r="C32" s="326">
        <f>$H$5</f>
      </c>
      <c r="D32" s="326">
        <f>$V$5</f>
      </c>
      <c r="E32" s="327">
        <f>$I$5</f>
      </c>
      <c r="F32" s="327">
        <f>$W$5</f>
      </c>
      <c r="G32" s="328">
        <f>$K$5</f>
      </c>
      <c r="H32" s="329">
        <f>$Y$5</f>
      </c>
      <c r="I32" s="290"/>
      <c r="J32" s="290"/>
      <c r="K32" s="290"/>
      <c r="L32" s="290"/>
      <c r="M32" s="290"/>
      <c r="N32" s="290"/>
      <c r="O32" s="290"/>
      <c r="P32" s="290"/>
      <c r="Q32" s="290"/>
      <c r="R32" s="290"/>
      <c r="S32" s="290"/>
      <c r="T32" s="290"/>
      <c r="U32" s="290"/>
      <c r="V32" s="290"/>
      <c r="W32" s="290"/>
      <c r="X32" s="290"/>
      <c r="Y32" s="290"/>
      <c r="Z32" s="290"/>
      <c r="AA32" s="290"/>
      <c r="AB32" s="290"/>
    </row>
    <row customHeight="true" ht="19.047619047619047" r="33">
      <c r="A33" s="324">
        <f>$A$8</f>
      </c>
      <c r="B33" s="325">
        <f>$E$8</f>
      </c>
      <c r="C33" s="326">
        <f>$H$8</f>
      </c>
      <c r="D33" s="326">
        <f>$V$8</f>
      </c>
      <c r="E33" s="327">
        <f>$I$8</f>
      </c>
      <c r="F33" s="327">
        <f>$W$8</f>
      </c>
      <c r="G33" s="328">
        <f>$K$8</f>
      </c>
      <c r="H33" s="329">
        <f>$Y$8</f>
      </c>
      <c r="I33" s="290"/>
      <c r="J33" s="290"/>
      <c r="K33" s="290"/>
      <c r="L33" s="290"/>
      <c r="M33" s="290"/>
      <c r="N33" s="290"/>
      <c r="O33" s="290"/>
      <c r="P33" s="290"/>
      <c r="Q33" s="290"/>
      <c r="R33" s="290"/>
      <c r="S33" s="290"/>
      <c r="T33" s="290"/>
      <c r="U33" s="290"/>
      <c r="V33" s="290"/>
      <c r="W33" s="290"/>
      <c r="X33" s="290"/>
      <c r="Y33" s="290"/>
      <c r="Z33" s="290"/>
      <c r="AA33" s="290"/>
      <c r="AB33" s="290"/>
    </row>
    <row customHeight="true" ht="19.047619047619047" r="34">
      <c r="A34" s="324">
        <f>$A$11</f>
      </c>
      <c r="B34" s="325">
        <f>$E$11</f>
      </c>
      <c r="C34" s="326">
        <f>$H$11</f>
      </c>
      <c r="D34" s="326">
        <f>$V$11</f>
      </c>
      <c r="E34" s="327">
        <f>$I$11</f>
      </c>
      <c r="F34" s="327">
        <f>$W$11</f>
      </c>
      <c r="G34" s="328">
        <f>$K$11</f>
      </c>
      <c r="H34" s="329">
        <f>$Y$11</f>
      </c>
      <c r="I34" s="290"/>
      <c r="J34" s="290"/>
      <c r="K34" s="290"/>
      <c r="L34" s="290"/>
      <c r="M34" s="290"/>
      <c r="N34" s="290"/>
      <c r="O34" s="290"/>
      <c r="P34" s="290"/>
      <c r="Q34" s="290"/>
      <c r="R34" s="290"/>
      <c r="S34" s="290"/>
      <c r="T34" s="290"/>
      <c r="U34" s="290"/>
      <c r="V34" s="290"/>
      <c r="W34" s="290"/>
      <c r="X34" s="290"/>
      <c r="Y34" s="290"/>
      <c r="Z34" s="290"/>
      <c r="AA34" s="290"/>
      <c r="AB34" s="290"/>
    </row>
    <row customHeight="true" ht="19.047619047619047" r="35">
      <c r="A35" s="324">
        <f>$A$14</f>
      </c>
      <c r="B35" s="325">
        <f>$E$14</f>
      </c>
      <c r="C35" s="326">
        <f>$H$14</f>
      </c>
      <c r="D35" s="326">
        <f>$V$14</f>
      </c>
      <c r="E35" s="327">
        <f>$I$14</f>
      </c>
      <c r="F35" s="327">
        <f>$W$14</f>
      </c>
      <c r="G35" s="328">
        <f>$K$14</f>
      </c>
      <c r="H35" s="329">
        <f>$Y$14</f>
      </c>
      <c r="I35" s="290"/>
      <c r="J35" s="290"/>
      <c r="K35" s="290"/>
      <c r="L35" s="290"/>
      <c r="M35" s="290"/>
      <c r="N35" s="290"/>
      <c r="O35" s="290"/>
      <c r="P35" s="290"/>
      <c r="Q35" s="290"/>
      <c r="R35" s="290"/>
      <c r="S35" s="290"/>
      <c r="T35" s="290"/>
      <c r="U35" s="290"/>
      <c r="V35" s="290"/>
      <c r="W35" s="290"/>
      <c r="X35" s="290"/>
      <c r="Y35" s="290"/>
      <c r="Z35" s="290"/>
      <c r="AA35" s="290"/>
      <c r="AB35" s="290"/>
    </row>
  </sheetData>
  <mergeCells>
    <mergeCell ref="A1:M1"/>
    <mergeCell ref="O1:AB1"/>
    <mergeCell ref="A16:M16"/>
    <mergeCell ref="A17:M17"/>
    <mergeCell ref="A18:M18"/>
    <mergeCell ref="O16:AB16"/>
    <mergeCell ref="O17:AB17"/>
    <mergeCell ref="O18:AB18"/>
    <mergeCell ref="A20:AB20"/>
    <mergeCell ref="A22:H22"/>
    <mergeCell ref="J22:Q22"/>
    <mergeCell ref="J23:L23"/>
    <mergeCell ref="J24:L24"/>
    <mergeCell ref="N23:Q23"/>
    <mergeCell ref="N24:Q24"/>
    <mergeCell ref="J26:Q26"/>
    <mergeCell ref="J27:Q27"/>
    <mergeCell ref="A30:H30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